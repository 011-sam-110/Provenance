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arrahJaber\repos\generate_inform_severity_excel\data\"/>
    </mc:Choice>
  </mc:AlternateContent>
  <xr:revisionPtr revIDLastSave="0" documentId="13_ncr:1_{BE28D5E2-18EF-4628-9B0B-56AAA00BA783}" xr6:coauthVersionLast="47" xr6:coauthVersionMax="47" xr10:uidLastSave="{00000000-0000-0000-0000-000000000000}"/>
  <bookViews>
    <workbookView xWindow="28680" yWindow="-120" windowWidth="29040" windowHeight="15720" tabRatio="916" xr2:uid="{00000000-000D-0000-FFFF-FFFF00000000}"/>
  </bookViews>
  <sheets>
    <sheet name="About" sheetId="2" r:id="rId1"/>
    <sheet name="INFORM Severity - country" sheetId="5" r:id="rId4"/>
  </sheets>
  <definedNames>
    <definedName name="_2012.06.11___GFM_Indicator_List" localSheetId="13">'Indicator Metadata'!$D$18:$J$36</definedName>
    <definedName name="_2012.06.11___GFM_Indicator_List_1" localSheetId="13">'Indicator Metadata'!$D$18:$J$36</definedName>
    <definedName name="_2012.06.11___GFM_Indicator_List_2" localSheetId="13">'Indicator Metadata'!$D$16:$J$36</definedName>
    <definedName name="_xlnm._FilterDatabase" localSheetId="15" hidden="1">'Crisis info'!$A$1:$Q$121</definedName>
    <definedName name="_xlnm._FilterDatabase" localSheetId="2" hidden="1">'INFORM Severity - all crises'!$A$4:$T$143</definedName>
    <definedName name="_xlnm._FilterDatabase" localSheetId="3" hidden="1">'INFORM Severity - country'!$A$4:$T$143</definedName>
    <definedName name="_xlnm._FilterDatabase" localSheetId="1" hidden="1">'INFORM Severity - hidden'!$A$4:$T$155</definedName>
    <definedName name="_xlnm._FilterDatabase" localSheetId="16" hidden="1">Lists!$A$1:$L$122</definedName>
    <definedName name="_xlnm._FilterDatabase" localSheetId="17" hidden="1">Log!$A$1:$M$3711</definedName>
    <definedName name="_Key1" localSheetId="10" hidden="1">#REF!</definedName>
    <definedName name="_Key1" localSheetId="4" hidden="1">#REF!</definedName>
    <definedName name="_Key1" localSheetId="18" hidden="1">#REF!</definedName>
    <definedName name="_Key1" localSheetId="13" hidden="1">#REF!</definedName>
    <definedName name="_Key1" hidden="1">#REF!</definedName>
    <definedName name="_Order1" hidden="1">255</definedName>
    <definedName name="_Sort" localSheetId="10" hidden="1">#REF!</definedName>
    <definedName name="_Sort" localSheetId="4" hidden="1">#REF!</definedName>
    <definedName name="_Sort" localSheetId="18" hidden="1">#REF!</definedName>
    <definedName name="_Sort" localSheetId="13" hidden="1">#REF!</definedName>
    <definedName name="_Sort" hidden="1">#REF!</definedName>
    <definedName name="aa" localSheetId="10" hidden="1">#REF!</definedName>
    <definedName name="aa" localSheetId="18" hidden="1">#REF!</definedName>
    <definedName name="aa" localSheetId="13" hidden="1">#REF!</definedName>
    <definedName name="aa" hidden="1">#REF!</definedName>
    <definedName name="CrisisList">'Crisis Indicator Data'!$A$13:$A$28</definedName>
    <definedName name="CrisisType" localSheetId="10">VLOOKUP(#REF!,#REF!,2,FALSE)</definedName>
    <definedName name="CrisisType">VLOOKUP(#REF!,#REF!,2,FALSE)</definedName>
    <definedName name="iCrisisType" localSheetId="0">INDIRECT(CrisisType)</definedName>
    <definedName name="iCrisisType" localSheetId="10">INDIRECT('Data Reliability'!CrisisType)</definedName>
    <definedName name="iCrisisType" localSheetId="1">INDIRECT(CrisisType)</definedName>
    <definedName name="iCrisisType">INDIRECT(CrisisType)</definedName>
    <definedName name="iIcons_a5" localSheetId="10">INDIRECT(#REF!)</definedName>
    <definedName name="iIcons_a5">INDIRECT(#REF!)</definedName>
    <definedName name="iIcons_a8" localSheetId="10">INDIRECT(#REF!)</definedName>
    <definedName name="iIcons_a8">INDIRECT(#REF!)</definedName>
    <definedName name="_xlnm.Print_Area" localSheetId="0">About!$A$1:$A$18</definedName>
    <definedName name="_xlnm.Print_Area" localSheetId="4">'Impact of the crisis'!$A$1:$AB$144</definedName>
    <definedName name="_xlnm.Print_Area" localSheetId="3">'INFORM Severity - country'!$A$1:$U$67</definedName>
    <definedName name="_xlnm.Print_Area" localSheetId="1">'INFORM Severity - hidden'!$A$1:$T$143</definedName>
    <definedName name="_xlnm.Print_Titles" localSheetId="4">'Impact of the crisis'!$1:$5</definedName>
    <definedName name="_xlnm.Print_Titles" localSheetId="1">'INFORM Severity - hidden'!$2:$2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<sst xmlns="http://schemas.openxmlformats.org/spreadsheetml/2006/main" count="26" uniqueCount="26">
  <si>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CRISIS</t>
  </si>
  <si>
    <t>CRISIS ID</t>
  </si>
  <si>
    <t>COUNTRY</t>
  </si>
  <si>
    <t>ISO3</t>
  </si>
  <si>
    <t>DRIVERS</t>
  </si>
  <si>
    <t>INFORM Severity Index</t>
  </si>
  <si>
    <t>INFORM Severity category</t>
  </si>
  <si>
    <t>Trend (last 3 months)</t>
  </si>
  <si>
    <t>Reliability</t>
  </si>
  <si>
    <t>Impact of the crisis</t>
  </si>
  <si>
    <t>Geographical</t>
  </si>
  <si>
    <t>Human</t>
  </si>
  <si>
    <t>Conditions of people affected</t>
  </si>
  <si>
    <t>People in need</t>
  </si>
  <si>
    <t>Concentration of conditions</t>
  </si>
  <si>
    <t>Complexity of the crisis</t>
  </si>
  <si>
    <t>Society and safety</t>
  </si>
  <si>
    <t>Operating environment</t>
  </si>
  <si>
    <t>Regions</t>
  </si>
  <si>
    <t>Last updated</t>
  </si>
  <si>
    <t>Weights</t>
  </si>
  <si>
    <t>(a-z)</t>
  </si>
  <si>
    <t>(1-10)</t>
  </si>
  <si>
    <t>(1-5)</t>
  </si>
  <si>
    <t>(Very Low-Very High)</t>
  </si>
  <si>
    <t>(Decreasing-Stable-Increasing)</t>
  </si>
</sst>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4A2B54"/>
  </sheetPr>
  <dimension ref="A1:U73"/>
  <sheetViews>
    <sheetView workbookViewId="0"/>
  </sheetViews>
  <sheetFormatPr defaultColWidth="8.54296875" defaultRowHeight="14.5" x14ac:dyDescent="0.35"/>
  <cols>
    <col min="1" max="1" width="43.54296875" bestFit="1" customWidth="1"/>
    <col min="2" max="2" width="9.453125" customWidth="1"/>
    <col min="3" max="3" width="17.54296875" customWidth="1"/>
    <col min="4" max="4" width="9.453125" customWidth="1"/>
    <col min="5" max="5" width="27.453125" bestFit="1" customWidth="1"/>
    <col min="6" max="6" width="9.453125" customWidth="1"/>
    <col min="7" max="7" width="8.54296875" hidden="1" customWidth="1"/>
    <col min="8" max="8" width="9.54296875" customWidth="1"/>
    <col min="9" max="9" width="13.54296875" customWidth="1"/>
    <col min="10" max="10" width="9.54296875" customWidth="1"/>
    <col min="11" max="20" width="9.453125" customWidth="1"/>
    <col min="21" max="21" width="11.453125" bestFit="1" customWidth="1"/>
  </cols>
  <sheetData>
    <row r="1" spans="1:21" ht="23" customHeight="1" x14ac:dyDescent="0.5">
      <c r="A1" s="125" t="str">
        <f>"INFORM Severity Index - all countries. Release: "&amp;About!$A$5&amp;""</f>
        <v>INFORM Severity Index - all countries. Release: August 2026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</row>
    <row r="2" spans="1:21" ht="96.5" customHeight="1" thickBot="1" x14ac:dyDescent="0.4">
      <c r="A2" s="13" t="s">
        <v>0</v>
      </c>
      <c r="B2" s="13" t="s">
        <v>1</v>
      </c>
      <c r="C2" s="13" t="s">
        <v>2</v>
      </c>
      <c r="D2" s="6" t="s">
        <v>3</v>
      </c>
      <c r="E2" s="13" t="s">
        <v>4</v>
      </c>
      <c r="F2" s="75" t="s">
        <v>5</v>
      </c>
      <c r="G2" s="76" t="s">
        <v>6</v>
      </c>
      <c r="H2" s="76" t="s">
        <v>6</v>
      </c>
      <c r="I2" s="77" t="s">
        <v>7</v>
      </c>
      <c r="J2" s="77" t="s">
        <v>8</v>
      </c>
      <c r="K2" s="79" t="s">
        <v>9</v>
      </c>
      <c r="L2" s="78" t="s">
        <v>10</v>
      </c>
      <c r="M2" s="78" t="s">
        <v>11</v>
      </c>
      <c r="N2" s="54" t="s">
        <v>12</v>
      </c>
      <c r="O2" s="80" t="s">
        <v>13</v>
      </c>
      <c r="P2" s="80" t="s">
        <v>14</v>
      </c>
      <c r="Q2" s="81" t="s">
        <v>15</v>
      </c>
      <c r="R2" s="82" t="s">
        <v>16</v>
      </c>
      <c r="S2" s="82" t="s">
        <v>17</v>
      </c>
      <c r="T2" s="58" t="s">
        <v>18</v>
      </c>
      <c r="U2" s="124" t="s">
        <v>19</v>
      </c>
    </row>
    <row r="3" spans="1:21" ht="17.5" hidden="1" customHeight="1" thickTop="1" x14ac:dyDescent="0.4">
      <c r="A3" s="51" t="s">
        <v>20</v>
      </c>
      <c r="B3" s="51"/>
      <c r="C3" s="51"/>
      <c r="D3" s="51"/>
      <c r="E3" s="51"/>
      <c r="F3" s="47"/>
      <c r="G3" s="47"/>
      <c r="H3" s="47"/>
      <c r="I3" s="72"/>
      <c r="J3" s="47"/>
      <c r="K3" s="46"/>
      <c r="L3" s="45"/>
      <c r="M3" s="45"/>
      <c r="N3" s="46"/>
      <c r="O3" s="47"/>
      <c r="P3" s="47"/>
      <c r="Q3" s="46"/>
      <c r="R3" s="45"/>
      <c r="S3" s="45"/>
      <c r="T3" s="2"/>
      <c r="U3" s="112"/>
    </row>
    <row r="4" spans="1:21" ht="17.5" customHeight="1" thickTop="1" x14ac:dyDescent="0.4">
      <c r="A4" s="14" t="s">
        <v>21</v>
      </c>
      <c r="B4" s="14"/>
      <c r="C4" s="14"/>
      <c r="D4" s="7" t="s">
        <v>21</v>
      </c>
      <c r="E4" s="14"/>
      <c r="F4" s="39" t="s">
        <v>22</v>
      </c>
      <c r="G4" s="39" t="s">
        <v>23</v>
      </c>
      <c r="H4" s="39" t="s">
        <v>24</v>
      </c>
      <c r="I4" s="39" t="s">
        <v>25</v>
      </c>
      <c r="J4" s="39" t="s">
        <v>24</v>
      </c>
      <c r="K4" s="39" t="s">
        <v>22</v>
      </c>
      <c r="L4" s="39" t="s">
        <v>22</v>
      </c>
      <c r="M4" s="39" t="s">
        <v>22</v>
      </c>
      <c r="N4" s="39" t="s">
        <v>22</v>
      </c>
      <c r="O4" s="39" t="s">
        <v>22</v>
      </c>
      <c r="P4" s="39" t="s">
        <v>22</v>
      </c>
      <c r="Q4" s="39" t="s">
        <v>22</v>
      </c>
      <c r="R4" s="39" t="s">
        <v>22</v>
      </c>
      <c r="S4" s="39" t="s">
        <v>22</v>
      </c>
      <c r="T4" s="2"/>
      <c r="U4" s="112"/>
    </row>
    <row r="5" spans="1:21" x14ac:dyDescent="0.35">
      <c r="A5" s="130" t="str">
        <f t="array" ref="A5">IFERROR(INDEX(Lists!$B$2:$B$200,SMALL(IF(Lists!$H$2:$H$200="Yes",ROW(Lists!$B$2:$B$200)),ROW(1:1))-1,1),"")</f>
        <v>Complex crisis in Afghanistan</v>
      </c>
      <c r="B5" s="131" t="str">
        <f>VLOOKUP(A5,Lists!$B$2:$G$200,2,FALSE)</f>
        <v>AFG001</v>
      </c>
      <c r="C5" s="131" t="str">
        <f>VLOOKUP(B5,'INFORM Severity - hidden'!$C$5:$D$200,2,FALSE)</f>
        <v>Afghanistan</v>
      </c>
      <c r="D5" s="131" t="str">
        <f>VLOOKUP(A5,Lists!$B$2:$G$200,3,FALSE)</f>
        <v>AFG</v>
      </c>
      <c r="E5" s="131" t="str">
        <f>VLOOKUP(A5,Lists!$B$2:$G$200,5,FALSE)</f>
        <v>Conflict/ Violence,Political/economic crisis,Floods,Drought/drier conditions,Earthquake</v>
      </c>
      <c r="F5" s="225">
        <f t="shared" ref="F5:F36" si="0">IF(OR(N5="x",K5="x"),"x",ROUND((10-GEOMEAN(((10-K5)/10*9+1),((10-N5)/10*9+1),((10-N5)/10*9+1)))/9*7+Q5*0.3,1))</f>
        <v>9.1999999999999993</v>
      </c>
      <c r="G5" s="234">
        <f t="array" ref="G5">_xlfn.IFS(F5="x", "x", F5&lt;=2, 1, F5&lt;=4, 2, F5&lt;=6, 3, F5&lt;=8, 4, F5&lt;=10, 5)</f>
        <v>5</v>
      </c>
      <c r="H5" s="226" t="str">
        <f t="shared" ref="H5:H36" si="1">IF(N5="x","x",IF(K5="x","x",(IF(G5=5,"Very High",IF(G5=4,"High",IF(G5=3,"Medium",IF(G5=2,"Low","Very Low")))))))</f>
        <v>Very High</v>
      </c>
      <c r="I5" s="227" t="str">
        <f>INDEX(Trends!$D$3:$D$404,MATCH(B5,Trends!$C$3:$C$404,0))</f>
        <v>Increasing</v>
      </c>
      <c r="J5" s="226" t="str">
        <f>VLOOKUP($B5,Reliability!$A$3:$I$300,9,FALSE)</f>
        <v>Very High</v>
      </c>
      <c r="K5" s="226">
        <f t="shared" ref="K5:K36" si="2">IF(OR(M5="x",L5="x"),"x",(10-GEOMEAN(((10-L5)/10*9+1),((10-M5)/10*9+1),((10-M5)/10*9+1)))/9*10)</f>
        <v>9.5784236868251114</v>
      </c>
      <c r="L5" s="226">
        <f>VLOOKUP($B5,'Impact of the crisis'!$C$6:$N$300,12,FALSE)</f>
        <v>9.8548188769516472</v>
      </c>
      <c r="M5" s="226">
        <f>VLOOKUP($B5,'Impact of the crisis'!$C$6:$AB$300,26,FALSE)</f>
        <v>9.4181964993499321</v>
      </c>
      <c r="N5" s="226">
        <f>VLOOKUP($B5,'Conditions of people affected'!$C$6:$R$300,16,FALSE)</f>
        <v>9</v>
      </c>
      <c r="O5" s="226">
        <f>VLOOKUP($B5,'Conditions of people affected'!$C$6:$R$300,9,FALSE)</f>
        <v>10</v>
      </c>
      <c r="P5" s="226">
        <f>VLOOKUP($B5,'Conditions of people affected'!$C$6:$R$300,15,FALSE)</f>
        <v>8</v>
      </c>
      <c r="Q5" s="226">
        <f t="shared" ref="Q5:Q36" si="3">IF(OR(S5="x",R5="x"),R5,(10-GEOMEAN(((10-R5)/10*9+1),((10-S5)/10*9+1)))/9*10)</f>
        <v>9.2469266652768951</v>
      </c>
      <c r="R5" s="226">
        <f>VLOOKUP($B5,'Complexity of the crisis'!$C$6:$AN$300,22,FALSE)</f>
        <v>7.9834458278299039</v>
      </c>
      <c r="S5" s="228">
        <f>VLOOKUP($B5,'Complexity of the crisis'!$C$6:$AN$300,38,FALSE)</f>
        <v>10</v>
      </c>
      <c r="T5" s="136" t="str">
        <f>VLOOKUP(B5,Lists!$C$3:$E$300,3,FALSE)</f>
        <v>Asia</v>
      </c>
      <c r="U5" s="144">
        <f>VLOOKUP(B5,'INFORM Severity - hidden'!$C$5:$V$300,20,FALSE)</f>
        <v>46265</v>
      </c>
    </row>
    <row r="6" spans="1:21" x14ac:dyDescent="0.35">
      <c r="A6" s="132" t="str">
        <f t="array" ref="A6">IFERROR(INDEX(Lists!$B$2:$B$200,SMALL(IF(Lists!$H$2:$H$200="Yes",ROW(Lists!$B$2:$B$200)),ROW(2:2))-1,1),"")</f>
        <v>Displacement from Eastern DRC</v>
      </c>
      <c r="B6" s="133" t="str">
        <f>VLOOKUP(A6,Lists!$B$2:$G$200,2,FALSE)</f>
        <v>BDI004</v>
      </c>
      <c r="C6" s="133" t="str">
        <f>VLOOKUP(B6,'INFORM Severity - hidden'!$C$5:$D$200,2,FALSE)</f>
        <v>Burundi</v>
      </c>
      <c r="D6" s="133" t="str">
        <f>VLOOKUP(A6,Lists!$B$2:$G$200,3,FALSE)</f>
        <v>BDI</v>
      </c>
      <c r="E6" s="133" t="str">
        <f>VLOOKUP(A6,Lists!$B$2:$G$200,5,FALSE)</f>
        <v>International Displacement</v>
      </c>
      <c r="F6" s="225">
        <f t="shared" si="0"/>
        <v>5.2</v>
      </c>
      <c r="G6" s="234">
        <f t="array" ref="G6">_xlfn.IFS(F6="x", "x", F6&lt;=2, 1, F6&lt;=4, 2, F6&lt;=6, 3, F6&lt;=8, 4, F6&lt;=10, 5)</f>
        <v>3</v>
      </c>
      <c r="H6" s="226" t="str">
        <f t="shared" si="1"/>
        <v>Medium</v>
      </c>
      <c r="I6" s="227" t="str">
        <f>INDEX(Trends!$D$3:$D$404,MATCH(B6,Trends!$C$3:$C$404,0))</f>
        <v>Increasing</v>
      </c>
      <c r="J6" s="226" t="str">
        <f>VLOOKUP($B6,Reliability!$A$3:$I$300,9,FALSE)</f>
        <v>Very High</v>
      </c>
      <c r="K6" s="226">
        <f t="shared" si="2"/>
        <v>4.9986878204486187</v>
      </c>
      <c r="L6" s="226">
        <f>VLOOKUP($B6,'Impact of the crisis'!$C$6:$N$300,12,FALSE)</f>
        <v>3.2005207622853278</v>
      </c>
      <c r="M6" s="226">
        <f>VLOOKUP($B6,'Impact of the crisis'!$C$6:$AB$300,26,FALSE)</f>
        <v>5.7381254040858725</v>
      </c>
      <c r="N6" s="226">
        <f>VLOOKUP($B6,'Conditions of people affected'!$C$6:$R$300,16,FALSE)</f>
        <v>4.9977618115907045</v>
      </c>
      <c r="O6" s="226">
        <f>VLOOKUP($B6,'Conditions of people affected'!$C$6:$R$300,9,FALSE)</f>
        <v>3.9955236231814073</v>
      </c>
      <c r="P6" s="226">
        <f>VLOOKUP($B6,'Conditions of people affected'!$C$6:$R$300,15,FALSE)</f>
        <v>6.0000000000000009</v>
      </c>
      <c r="Q6" s="226">
        <f t="shared" si="3"/>
        <v>5.7841693686119395</v>
      </c>
      <c r="R6" s="226">
        <f>VLOOKUP($B6,'Complexity of the crisis'!$C$6:$AN$300,22,FALSE)</f>
        <v>6.0539472506790126</v>
      </c>
      <c r="S6" s="228">
        <f>VLOOKUP($B6,'Complexity of the crisis'!$C$6:$AN$300,38,FALSE)</f>
        <v>5.5</v>
      </c>
      <c r="T6" s="136" t="str">
        <f>VLOOKUP(B6,Lists!$C$3:$E$300,3,FALSE)</f>
        <v>Africa</v>
      </c>
      <c r="U6" s="144">
        <f>VLOOKUP(B6,'INFORM Severity - hidden'!$C$5:$V$300,20,FALSE)</f>
        <v>46259</v>
      </c>
    </row>
    <row r="7" spans="1:21" x14ac:dyDescent="0.35">
      <c r="A7" s="132" t="str">
        <f t="array" ref="A7">IFERROR(INDEX(Lists!$B$2:$B$200,SMALL(IF(Lists!$H$2:$H$200="Yes",ROW(Lists!$B$2:$B$200)),ROW(3:3))-1,1),"")</f>
        <v>Conflict in northern region of Benin</v>
      </c>
      <c r="B7" s="133" t="str">
        <f>VLOOKUP(A7,Lists!$B$2:$G$200,2,FALSE)</f>
        <v>BEN002</v>
      </c>
      <c r="C7" s="133" t="str">
        <f>VLOOKUP(B7,'INFORM Severity - hidden'!$C$5:$D$200,2,FALSE)</f>
        <v>Benin</v>
      </c>
      <c r="D7" s="133" t="str">
        <f>VLOOKUP(A7,Lists!$B$2:$G$200,3,FALSE)</f>
        <v>BEN</v>
      </c>
      <c r="E7" s="133" t="str">
        <f>VLOOKUP(A7,Lists!$B$2:$G$200,5,FALSE)</f>
        <v>Conflict/ Violence</v>
      </c>
      <c r="F7" s="225">
        <f t="shared" si="0"/>
        <v>4.7</v>
      </c>
      <c r="G7" s="234">
        <f t="array" ref="G7">_xlfn.IFS(F7="x", "x", F7&lt;=2, 1, F7&lt;=4, 2, F7&lt;=6, 3, F7&lt;=8, 4, F7&lt;=10, 5)</f>
        <v>3</v>
      </c>
      <c r="H7" s="226" t="str">
        <f t="shared" si="1"/>
        <v>Medium</v>
      </c>
      <c r="I7" s="227" t="str">
        <f>INDEX(Trends!$D$3:$D$404,MATCH(B7,Trends!$C$3:$C$404,0))</f>
        <v>Increasing</v>
      </c>
      <c r="J7" s="226" t="str">
        <f>VLOOKUP($B7,Reliability!$A$3:$I$300,9,FALSE)</f>
        <v>High</v>
      </c>
      <c r="K7" s="226">
        <f t="shared" si="2"/>
        <v>4.8136920184110128</v>
      </c>
      <c r="L7" s="226">
        <f>VLOOKUP($B7,'Impact of the crisis'!$C$6:$N$300,12,FALSE)</f>
        <v>3.5816787394391958</v>
      </c>
      <c r="M7" s="226">
        <f>VLOOKUP($B7,'Impact of the crisis'!$C$6:$AB$300,26,FALSE)</f>
        <v>5.3519029450270592</v>
      </c>
      <c r="N7" s="226">
        <f>VLOOKUP($B7,'Conditions of people affected'!$C$6:$R$300,16,FALSE)</f>
        <v>4.6348790554602637</v>
      </c>
      <c r="O7" s="226">
        <f>VLOOKUP($B7,'Conditions of people affected'!$C$6:$R$300,9,FALSE)</f>
        <v>3.4039643302331282</v>
      </c>
      <c r="P7" s="226">
        <f>VLOOKUP($B7,'Conditions of people affected'!$C$6:$R$300,15,FALSE)</f>
        <v>5.8657937806873983</v>
      </c>
      <c r="Q7" s="226">
        <f t="shared" si="3"/>
        <v>4.5963951416975659</v>
      </c>
      <c r="R7" s="226">
        <f>VLOOKUP($B7,'Complexity of the crisis'!$C$6:$AN$300,22,FALSE)</f>
        <v>5.1427717758113163</v>
      </c>
      <c r="S7" s="228">
        <f>VLOOKUP($B7,'Complexity of the crisis'!$C$6:$AN$300,38,FALSE)</f>
        <v>4</v>
      </c>
      <c r="T7" s="136" t="str">
        <f>VLOOKUP(B7,Lists!$C$3:$E$300,3,FALSE)</f>
        <v>Africa</v>
      </c>
      <c r="U7" s="144">
        <f>VLOOKUP(B7,'INFORM Severity - hidden'!$C$5:$V$300,20,FALSE)</f>
        <v>46260</v>
      </c>
    </row>
    <row r="8" spans="1:21" x14ac:dyDescent="0.35">
      <c r="A8" s="132" t="str">
        <f t="array" ref="A8">IFERROR(INDEX(Lists!$B$2:$B$200,SMALL(IF(Lists!$H$2:$H$200="Yes",ROW(Lists!$B$2:$B$200)),ROW(4:4))-1,1),"")</f>
        <v>Conflict and Climatic Shocks in Burkina Faso</v>
      </c>
      <c r="B8" s="133" t="str">
        <f>VLOOKUP(A8,Lists!$B$2:$G$200,2,FALSE)</f>
        <v>BFA002</v>
      </c>
      <c r="C8" s="133" t="str">
        <f>VLOOKUP(B8,'INFORM Severity - hidden'!$C$5:$D$200,2,FALSE)</f>
        <v>Burkina Faso</v>
      </c>
      <c r="D8" s="133" t="str">
        <f>VLOOKUP(A8,Lists!$B$2:$G$200,3,FALSE)</f>
        <v>BFA</v>
      </c>
      <c r="E8" s="133" t="str">
        <f>VLOOKUP(A8,Lists!$B$2:$G$200,5,FALSE)</f>
        <v>Conflict/ Violence,Drought/drier conditions,Floods</v>
      </c>
      <c r="F8" s="225">
        <f t="shared" si="0"/>
        <v>8.4</v>
      </c>
      <c r="G8" s="234">
        <f t="array" ref="G8">_xlfn.IFS(F8="x", "x", F8&lt;=2, 1, F8&lt;=4, 2, F8&lt;=6, 3, F8&lt;=8, 4, F8&lt;=10, 5)</f>
        <v>5</v>
      </c>
      <c r="H8" s="226" t="str">
        <f t="shared" si="1"/>
        <v>Very High</v>
      </c>
      <c r="I8" s="227" t="str">
        <f>INDEX(Trends!$D$3:$D$404,MATCH(B8,Trends!$C$3:$C$404,0))</f>
        <v>Stable</v>
      </c>
      <c r="J8" s="226" t="str">
        <f>VLOOKUP($B8,Reliability!$A$3:$I$300,9,FALSE)</f>
        <v>High</v>
      </c>
      <c r="K8" s="226">
        <f t="shared" si="2"/>
        <v>8.6112930850286293</v>
      </c>
      <c r="L8" s="226">
        <f>VLOOKUP($B8,'Impact of the crisis'!$C$6:$N$300,12,FALSE)</f>
        <v>9.3542845084884956</v>
      </c>
      <c r="M8" s="226">
        <f>VLOOKUP($B8,'Impact of the crisis'!$C$6:$AB$300,26,FALSE)</f>
        <v>8.1291763097238565</v>
      </c>
      <c r="N8" s="226">
        <f>VLOOKUP($B8,'Conditions of people affected'!$C$6:$R$300,16,FALSE)</f>
        <v>8.4111628854988911</v>
      </c>
      <c r="O8" s="226">
        <f>VLOOKUP($B8,'Conditions of people affected'!$C$6:$R$300,9,FALSE)</f>
        <v>8.8223257709977823</v>
      </c>
      <c r="P8" s="226">
        <f>VLOOKUP($B8,'Conditions of people affected'!$C$6:$R$300,15,FALSE)</f>
        <v>8</v>
      </c>
      <c r="Q8" s="226">
        <f t="shared" si="3"/>
        <v>8.0905785525128557</v>
      </c>
      <c r="R8" s="226">
        <f>VLOOKUP($B8,'Complexity of the crisis'!$C$6:$AN$300,22,FALSE)</f>
        <v>6.7893978249022098</v>
      </c>
      <c r="S8" s="228">
        <f>VLOOKUP($B8,'Complexity of the crisis'!$C$6:$AN$300,38,FALSE)</f>
        <v>9</v>
      </c>
      <c r="T8" s="136" t="str">
        <f>VLOOKUP(B8,Lists!$C$3:$E$300,3,FALSE)</f>
        <v>Africa</v>
      </c>
      <c r="U8" s="144">
        <f>VLOOKUP(B8,'INFORM Severity - hidden'!$C$5:$V$300,20,FALSE)</f>
        <v>46260</v>
      </c>
    </row>
    <row r="9" spans="1:21" x14ac:dyDescent="0.35">
      <c r="A9" s="132" t="str">
        <f t="array" ref="A9">IFERROR(INDEX(Lists!$B$2:$B$200,SMALL(IF(Lists!$H$2:$H$200="Yes",ROW(Lists!$B$2:$B$200)),ROW(5:5))-1,1),"")</f>
        <v>Multiple crises in Bangladesh</v>
      </c>
      <c r="B9" s="133" t="str">
        <f>VLOOKUP(A9,Lists!$B$2:$G$200,2,FALSE)</f>
        <v>BGD001</v>
      </c>
      <c r="C9" s="133" t="str">
        <f>VLOOKUP(B9,'INFORM Severity - hidden'!$C$5:$D$200,2,FALSE)</f>
        <v>Bangladesh</v>
      </c>
      <c r="D9" s="133" t="str">
        <f>VLOOKUP(A9,Lists!$B$2:$G$200,3,FALSE)</f>
        <v>BGD</v>
      </c>
      <c r="E9" s="133" t="str">
        <f>VLOOKUP(A9,Lists!$B$2:$G$200,5,FALSE)</f>
        <v>International Displacement,Floods,Cyclone,Political/economic crisis</v>
      </c>
      <c r="F9" s="225">
        <f t="shared" si="0"/>
        <v>6.9</v>
      </c>
      <c r="G9" s="234">
        <f t="array" ref="G9">_xlfn.IFS(F9="x", "x", F9&lt;=2, 1, F9&lt;=4, 2, F9&lt;=6, 3, F9&lt;=8, 4, F9&lt;=10, 5)</f>
        <v>4</v>
      </c>
      <c r="H9" s="226" t="str">
        <f t="shared" si="1"/>
        <v>High</v>
      </c>
      <c r="I9" s="227" t="str">
        <f>INDEX(Trends!$D$3:$D$404,MATCH(B9,Trends!$C$3:$C$404,0))</f>
        <v>Increasing</v>
      </c>
      <c r="J9" s="226" t="str">
        <f>VLOOKUP($B9,Reliability!$A$3:$I$300,9,FALSE)</f>
        <v>Very High</v>
      </c>
      <c r="K9" s="226">
        <f t="shared" si="2"/>
        <v>6.4191676948943588</v>
      </c>
      <c r="L9" s="226">
        <f>VLOOKUP($B9,'Impact of the crisis'!$C$6:$N$300,12,FALSE)</f>
        <v>7.3165955988091937</v>
      </c>
      <c r="M9" s="226">
        <f>VLOOKUP($B9,'Impact of the crisis'!$C$6:$AB$300,26,FALSE)</f>
        <v>5.8937489677121802</v>
      </c>
      <c r="N9" s="226">
        <f>VLOOKUP($B9,'Conditions of people affected'!$C$6:$R$300,16,FALSE)</f>
        <v>8.0974045616794719</v>
      </c>
      <c r="O9" s="226">
        <f>VLOOKUP($B9,'Conditions of people affected'!$C$6:$R$300,9,FALSE)</f>
        <v>10</v>
      </c>
      <c r="P9" s="226">
        <f>VLOOKUP($B9,'Conditions of people affected'!$C$6:$R$300,15,FALSE)</f>
        <v>6.1948091233589446</v>
      </c>
      <c r="Q9" s="226">
        <f t="shared" si="3"/>
        <v>5.0984650358478065</v>
      </c>
      <c r="R9" s="226">
        <f>VLOOKUP($B9,'Complexity of the crisis'!$C$6:$AN$300,22,FALSE)</f>
        <v>4.6681959539346147</v>
      </c>
      <c r="S9" s="228">
        <f>VLOOKUP($B9,'Complexity of the crisis'!$C$6:$AN$300,38,FALSE)</f>
        <v>5.5</v>
      </c>
      <c r="T9" s="136" t="str">
        <f>VLOOKUP(B9,Lists!$C$3:$E$300,3,FALSE)</f>
        <v>Asia</v>
      </c>
      <c r="U9" s="144">
        <f>VLOOKUP(B9,'INFORM Severity - hidden'!$C$5:$V$300,20,FALSE)</f>
        <v>46265</v>
      </c>
    </row>
    <row r="10" spans="1:21" x14ac:dyDescent="0.35">
      <c r="A10" s="132" t="str">
        <f t="array" ref="A10">IFERROR(INDEX(Lists!$B$2:$B$200,SMALL(IF(Lists!$H$2:$H$200="Yes",ROW(Lists!$B$2:$B$200)),ROW(6:6))-1,1),"")</f>
        <v>Displacement from Venezuela to Brazil</v>
      </c>
      <c r="B10" s="133" t="str">
        <f>VLOOKUP(A10,Lists!$B$2:$G$200,2,FALSE)</f>
        <v>BRA002</v>
      </c>
      <c r="C10" s="133" t="str">
        <f>VLOOKUP(B10,'INFORM Severity - hidden'!$C$5:$D$200,2,FALSE)</f>
        <v>Brazil</v>
      </c>
      <c r="D10" s="133" t="str">
        <f>VLOOKUP(A10,Lists!$B$2:$G$200,3,FALSE)</f>
        <v>BRA</v>
      </c>
      <c r="E10" s="133" t="str">
        <f>VLOOKUP(A10,Lists!$B$2:$G$200,5,FALSE)</f>
        <v>International Displacement</v>
      </c>
      <c r="F10" s="225">
        <f t="shared" si="0"/>
        <v>5.2</v>
      </c>
      <c r="G10" s="234">
        <f t="array" ref="G10">_xlfn.IFS(F10="x", "x", F10&lt;=2, 1, F10&lt;=4, 2, F10&lt;=6, 3, F10&lt;=8, 4, F10&lt;=10, 5)</f>
        <v>3</v>
      </c>
      <c r="H10" s="226" t="str">
        <f t="shared" si="1"/>
        <v>Medium</v>
      </c>
      <c r="I10" s="227" t="str">
        <f>INDEX(Trends!$D$3:$D$404,MATCH(B10,Trends!$C$3:$C$404,0))</f>
        <v>Decreasing</v>
      </c>
      <c r="J10" s="226" t="str">
        <f>VLOOKUP($B10,Reliability!$A$3:$I$300,9,FALSE)</f>
        <v>Medium</v>
      </c>
      <c r="K10" s="226">
        <f t="shared" si="2"/>
        <v>7.4869034169847204</v>
      </c>
      <c r="L10" s="226">
        <f>VLOOKUP($B10,'Impact of the crisis'!$C$6:$N$300,12,FALSE)</f>
        <v>8.1391472148740274</v>
      </c>
      <c r="M10" s="226">
        <f>VLOOKUP($B10,'Impact of the crisis'!$C$6:$AB$300,26,FALSE)</f>
        <v>7.1089197294878561</v>
      </c>
      <c r="N10" s="226">
        <f>VLOOKUP($B10,'Conditions of people affected'!$C$6:$R$300,16,FALSE)</f>
        <v>4.1683116835856344</v>
      </c>
      <c r="O10" s="226">
        <f>VLOOKUP($B10,'Conditions of people affected'!$C$6:$R$300,9,FALSE)</f>
        <v>5.8272934233540026</v>
      </c>
      <c r="P10" s="226">
        <f>VLOOKUP($B10,'Conditions of people affected'!$C$6:$R$300,15,FALSE)</f>
        <v>2.5093299438172667</v>
      </c>
      <c r="Q10" s="226">
        <f t="shared" si="3"/>
        <v>4.5067708506298283</v>
      </c>
      <c r="R10" s="226">
        <f>VLOOKUP($B10,'Complexity of the crisis'!$C$6:$AN$300,22,FALSE)</f>
        <v>4.9774268535185184</v>
      </c>
      <c r="S10" s="228">
        <f>VLOOKUP($B10,'Complexity of the crisis'!$C$6:$AN$300,38,FALSE)</f>
        <v>4</v>
      </c>
      <c r="T10" s="136" t="str">
        <f>VLOOKUP(B10,Lists!$C$3:$E$300,3,FALSE)</f>
        <v>Americas</v>
      </c>
      <c r="U10" s="144">
        <f>VLOOKUP(B10,'INFORM Severity - hidden'!$C$5:$V$300,20,FALSE)</f>
        <v>46265</v>
      </c>
    </row>
    <row r="11" spans="1:21" x14ac:dyDescent="0.35">
      <c r="A11" s="132" t="str">
        <f t="array" ref="A11">IFERROR(INDEX(Lists!$B$2:$B$200,SMALL(IF(Lists!$H$2:$H$200="Yes",ROW(Lists!$B$2:$B$200)),ROW(7:7))-1,1),"")</f>
        <v>Conflict and Climatic Shocks in CAR</v>
      </c>
      <c r="B11" s="133" t="str">
        <f>VLOOKUP(A11,Lists!$B$2:$G$200,2,FALSE)</f>
        <v>CAF001</v>
      </c>
      <c r="C11" s="133" t="str">
        <f>VLOOKUP(B11,'INFORM Severity - hidden'!$C$5:$D$200,2,FALSE)</f>
        <v>Central African Republic</v>
      </c>
      <c r="D11" s="133" t="str">
        <f>VLOOKUP(A11,Lists!$B$2:$G$200,3,FALSE)</f>
        <v>CAF</v>
      </c>
      <c r="E11" s="133" t="str">
        <f>VLOOKUP(A11,Lists!$B$2:$G$200,5,FALSE)</f>
        <v>Conflict/ Violence,Floods</v>
      </c>
      <c r="F11" s="225">
        <f t="shared" si="0"/>
        <v>8</v>
      </c>
      <c r="G11" s="234">
        <f t="array" ref="G11">_xlfn.IFS(F11="x", "x", F11&lt;=2, 1, F11&lt;=4, 2, F11&lt;=6, 3, F11&lt;=8, 4, F11&lt;=10, 5)</f>
        <v>4</v>
      </c>
      <c r="H11" s="226" t="str">
        <f t="shared" si="1"/>
        <v>High</v>
      </c>
      <c r="I11" s="227" t="str">
        <f>INDEX(Trends!$D$3:$D$404,MATCH(B11,Trends!$C$3:$C$404,0))</f>
        <v>Stable</v>
      </c>
      <c r="J11" s="226" t="str">
        <f>VLOOKUP($B11,Reliability!$A$3:$I$300,9,FALSE)</f>
        <v>High</v>
      </c>
      <c r="K11" s="226">
        <f t="shared" si="2"/>
        <v>8.5901502440695605</v>
      </c>
      <c r="L11" s="226">
        <f>VLOOKUP($B11,'Impact of the crisis'!$C$6:$N$300,12,FALSE)</f>
        <v>8.8042929317551302</v>
      </c>
      <c r="M11" s="226">
        <f>VLOOKUP($B11,'Impact of the crisis'!$C$6:$AB$300,26,FALSE)</f>
        <v>8.4757357966214339</v>
      </c>
      <c r="N11" s="226">
        <f>VLOOKUP($B11,'Conditions of people affected'!$C$6:$R$300,16,FALSE)</f>
        <v>7.8692476899438875</v>
      </c>
      <c r="O11" s="226">
        <f>VLOOKUP($B11,'Conditions of people affected'!$C$6:$R$300,9,FALSE)</f>
        <v>7.8172587218090115</v>
      </c>
      <c r="P11" s="226">
        <f>VLOOKUP($B11,'Conditions of people affected'!$C$6:$R$300,15,FALSE)</f>
        <v>7.9212366580787634</v>
      </c>
      <c r="Q11" s="226">
        <f t="shared" si="3"/>
        <v>7.7320968500661227</v>
      </c>
      <c r="R11" s="226">
        <f>VLOOKUP($B11,'Complexity of the crisis'!$C$6:$AN$300,22,FALSE)</f>
        <v>6.7383606265532912</v>
      </c>
      <c r="S11" s="228">
        <f>VLOOKUP($B11,'Complexity of the crisis'!$C$6:$AN$300,38,FALSE)</f>
        <v>8.5</v>
      </c>
      <c r="T11" s="136" t="str">
        <f>VLOOKUP(B11,Lists!$C$3:$E$300,3,FALSE)</f>
        <v>Africa</v>
      </c>
      <c r="U11" s="144">
        <f>VLOOKUP(B11,'INFORM Severity - hidden'!$C$5:$V$300,20,FALSE)</f>
        <v>46265</v>
      </c>
    </row>
    <row r="12" spans="1:21" x14ac:dyDescent="0.35">
      <c r="A12" s="132" t="str">
        <f t="array" ref="A12">IFERROR(INDEX(Lists!$B$2:$B$200,SMALL(IF(Lists!$H$2:$H$200="Yes",ROW(Lists!$B$2:$B$200)),ROW(8:8))-1,1),"")</f>
        <v>Displacement from Venezuela to Chile</v>
      </c>
      <c r="B12" s="133" t="str">
        <f>VLOOKUP(A12,Lists!$B$2:$G$200,2,FALSE)</f>
        <v>CHL002</v>
      </c>
      <c r="C12" s="133" t="str">
        <f>VLOOKUP(B12,'INFORM Severity - hidden'!$C$5:$D$200,2,FALSE)</f>
        <v>Chile</v>
      </c>
      <c r="D12" s="133" t="str">
        <f>VLOOKUP(A12,Lists!$B$2:$G$200,3,FALSE)</f>
        <v>CHL</v>
      </c>
      <c r="E12" s="133" t="str">
        <f>VLOOKUP(A12,Lists!$B$2:$G$200,5,FALSE)</f>
        <v>International Displacement</v>
      </c>
      <c r="F12" s="225">
        <f t="shared" si="0"/>
        <v>5</v>
      </c>
      <c r="G12" s="234">
        <f t="array" ref="G12">_xlfn.IFS(F12="x", "x", F12&lt;=2, 1, F12&lt;=4, 2, F12&lt;=6, 3, F12&lt;=8, 4, F12&lt;=10, 5)</f>
        <v>3</v>
      </c>
      <c r="H12" s="226" t="str">
        <f t="shared" si="1"/>
        <v>Medium</v>
      </c>
      <c r="I12" s="227" t="str">
        <f>INDEX(Trends!$D$3:$D$404,MATCH(B12,Trends!$C$3:$C$404,0))</f>
        <v>Stable</v>
      </c>
      <c r="J12" s="226" t="str">
        <f>VLOOKUP($B12,Reliability!$A$3:$I$300,9,FALSE)</f>
        <v>Very High</v>
      </c>
      <c r="K12" s="226">
        <f t="shared" si="2"/>
        <v>5.839004103653429</v>
      </c>
      <c r="L12" s="226">
        <f>VLOOKUP($B12,'Impact of the crisis'!$C$6:$N$300,12,FALSE)</f>
        <v>7.4345038203081204</v>
      </c>
      <c r="M12" s="226">
        <f>VLOOKUP($B12,'Impact of the crisis'!$C$6:$AB$300,26,FALSE)</f>
        <v>4.7978652494716849</v>
      </c>
      <c r="N12" s="226">
        <f>VLOOKUP($B12,'Conditions of people affected'!$C$6:$R$300,16,FALSE)</f>
        <v>5.6418975475292434</v>
      </c>
      <c r="O12" s="226">
        <f>VLOOKUP($B12,'Conditions of people affected'!$C$6:$R$300,9,FALSE)</f>
        <v>5.8730927947350979</v>
      </c>
      <c r="P12" s="226">
        <f>VLOOKUP($B12,'Conditions of people affected'!$C$6:$R$300,15,FALSE)</f>
        <v>5.4107023003233889</v>
      </c>
      <c r="Q12" s="226">
        <f t="shared" si="3"/>
        <v>3.37856913100401</v>
      </c>
      <c r="R12" s="226">
        <f>VLOOKUP($B12,'Complexity of the crisis'!$C$6:$AN$300,22,FALSE)</f>
        <v>2.0669119637654325</v>
      </c>
      <c r="S12" s="228">
        <f>VLOOKUP($B12,'Complexity of the crisis'!$C$6:$AN$300,38,FALSE)</f>
        <v>4.5</v>
      </c>
      <c r="T12" s="136" t="str">
        <f>VLOOKUP(B12,Lists!$C$3:$E$300,3,FALSE)</f>
        <v>Americas</v>
      </c>
      <c r="U12" s="144">
        <f>VLOOKUP(B12,'INFORM Severity - hidden'!$C$5:$V$300,20,FALSE)</f>
        <v>46265</v>
      </c>
    </row>
    <row r="13" spans="1:21" x14ac:dyDescent="0.35">
      <c r="A13" s="132" t="str">
        <f t="array" ref="A13">IFERROR(INDEX(Lists!$B$2:$B$200,SMALL(IF(Lists!$H$2:$H$200="Yes",ROW(Lists!$B$2:$B$200)),ROW(9:9))-1,1),"")</f>
        <v>Displacement from Burkina Faso to northern Côte d’Ivoire</v>
      </c>
      <c r="B13" s="133" t="str">
        <f>VLOOKUP(A13,Lists!$B$2:$G$200,2,FALSE)</f>
        <v>CIV002</v>
      </c>
      <c r="C13" s="133" t="str">
        <f>VLOOKUP(B13,'INFORM Severity - hidden'!$C$5:$D$200,2,FALSE)</f>
        <v>Ivory Coast</v>
      </c>
      <c r="D13" s="133" t="str">
        <f>VLOOKUP(A13,Lists!$B$2:$G$200,3,FALSE)</f>
        <v>CIV</v>
      </c>
      <c r="E13" s="133" t="str">
        <f>VLOOKUP(A13,Lists!$B$2:$G$200,5,FALSE)</f>
        <v>International Displacement</v>
      </c>
      <c r="F13" s="225">
        <f t="shared" si="0"/>
        <v>4.4000000000000004</v>
      </c>
      <c r="G13" s="234">
        <f t="array" ref="G13">_xlfn.IFS(F13="x", "x", F13&lt;=2, 1, F13&lt;=4, 2, F13&lt;=6, 3, F13&lt;=8, 4, F13&lt;=10, 5)</f>
        <v>3</v>
      </c>
      <c r="H13" s="226" t="str">
        <f t="shared" si="1"/>
        <v>Medium</v>
      </c>
      <c r="I13" s="227" t="str">
        <f>INDEX(Trends!$D$3:$D$404,MATCH(B13,Trends!$C$3:$C$404,0))</f>
        <v>Increasing</v>
      </c>
      <c r="J13" s="226" t="str">
        <f>VLOOKUP($B13,Reliability!$A$3:$I$300,9,FALSE)</f>
        <v>Medium</v>
      </c>
      <c r="K13" s="226">
        <f t="shared" si="2"/>
        <v>4.3647819213524395</v>
      </c>
      <c r="L13" s="226">
        <f>VLOOKUP($B13,'Impact of the crisis'!$C$6:$N$300,12,FALSE)</f>
        <v>1.2761540110125935</v>
      </c>
      <c r="M13" s="226">
        <f>VLOOKUP($B13,'Impact of the crisis'!$C$6:$AB$300,26,FALSE)</f>
        <v>5.5236429879610585</v>
      </c>
      <c r="N13" s="226">
        <f>VLOOKUP($B13,'Conditions of people affected'!$C$6:$R$300,16,FALSE)</f>
        <v>4.6141382475898922</v>
      </c>
      <c r="O13" s="226">
        <f>VLOOKUP($B13,'Conditions of people affected'!$C$6:$R$300,9,FALSE)</f>
        <v>3.2282764951797827</v>
      </c>
      <c r="P13" s="226">
        <f>VLOOKUP($B13,'Conditions of people affected'!$C$6:$R$300,15,FALSE)</f>
        <v>6.0000000000000009</v>
      </c>
      <c r="Q13" s="226">
        <f t="shared" si="3"/>
        <v>4.2104998122365682</v>
      </c>
      <c r="R13" s="226">
        <f>VLOOKUP($B13,'Complexity of the crisis'!$C$6:$AN$300,22,FALSE)</f>
        <v>5.2403449921604937</v>
      </c>
      <c r="S13" s="228">
        <f>VLOOKUP($B13,'Complexity of the crisis'!$C$6:$AN$300,38,FALSE)</f>
        <v>3</v>
      </c>
      <c r="T13" s="136" t="str">
        <f>VLOOKUP(B13,Lists!$C$3:$E$300,3,FALSE)</f>
        <v>Africa</v>
      </c>
      <c r="U13" s="144">
        <f>VLOOKUP(B13,'INFORM Severity - hidden'!$C$5:$V$300,20,FALSE)</f>
        <v>46260</v>
      </c>
    </row>
    <row r="14" spans="1:21" x14ac:dyDescent="0.35">
      <c r="A14" s="132" t="str">
        <f t="array" ref="A14">IFERROR(INDEX(Lists!$B$2:$B$200,SMALL(IF(Lists!$H$2:$H$200="Yes",ROW(Lists!$B$2:$B$200)),ROW(10:10))-1,1),"")</f>
        <v>Complex crisis in Cameroon</v>
      </c>
      <c r="B14" s="133" t="str">
        <f>VLOOKUP(A14,Lists!$B$2:$G$200,2,FALSE)</f>
        <v>CMR005</v>
      </c>
      <c r="C14" s="133" t="str">
        <f>VLOOKUP(B14,'INFORM Severity - hidden'!$C$5:$D$200,2,FALSE)</f>
        <v>Cameroon</v>
      </c>
      <c r="D14" s="133" t="str">
        <f>VLOOKUP(A14,Lists!$B$2:$G$200,3,FALSE)</f>
        <v>CMR</v>
      </c>
      <c r="E14" s="133" t="str">
        <f>VLOOKUP(A14,Lists!$B$2:$G$200,5,FALSE)</f>
        <v>International Displacement,Conflict/ Violence,Floods</v>
      </c>
      <c r="F14" s="225">
        <f t="shared" si="0"/>
        <v>8.1999999999999993</v>
      </c>
      <c r="G14" s="234">
        <f t="array" ref="G14">_xlfn.IFS(F14="x", "x", F14&lt;=2, 1, F14&lt;=4, 2, F14&lt;=6, 3, F14&lt;=8, 4, F14&lt;=10, 5)</f>
        <v>5</v>
      </c>
      <c r="H14" s="226" t="str">
        <f t="shared" si="1"/>
        <v>Very High</v>
      </c>
      <c r="I14" s="227" t="str">
        <f>INDEX(Trends!$D$3:$D$404,MATCH(B14,Trends!$C$3:$C$404,0))</f>
        <v>Increasing</v>
      </c>
      <c r="J14" s="226" t="str">
        <f>VLOOKUP($B14,Reliability!$A$3:$I$300,9,FALSE)</f>
        <v>High</v>
      </c>
      <c r="K14" s="226">
        <f t="shared" si="2"/>
        <v>8.9585819792667216</v>
      </c>
      <c r="L14" s="226">
        <f>VLOOKUP($B14,'Impact of the crisis'!$C$6:$N$300,12,FALSE)</f>
        <v>9.1230233271635921</v>
      </c>
      <c r="M14" s="226">
        <f>VLOOKUP($B14,'Impact of the crisis'!$C$6:$AB$300,26,FALSE)</f>
        <v>8.8713289655490328</v>
      </c>
      <c r="N14" s="226">
        <f>VLOOKUP($B14,'Conditions of people affected'!$C$6:$R$300,16,FALSE)</f>
        <v>8.0982331031505446</v>
      </c>
      <c r="O14" s="226">
        <f>VLOOKUP($B14,'Conditions of people affected'!$C$6:$R$300,9,FALSE)</f>
        <v>8.1964662063010874</v>
      </c>
      <c r="P14" s="226">
        <f>VLOOKUP($B14,'Conditions of people affected'!$C$6:$R$300,15,FALSE)</f>
        <v>8</v>
      </c>
      <c r="Q14" s="226">
        <f t="shared" si="3"/>
        <v>7.7441393317658456</v>
      </c>
      <c r="R14" s="226">
        <f>VLOOKUP($B14,'Complexity of the crisis'!$C$6:$AN$300,22,FALSE)</f>
        <v>6.7694732104231621</v>
      </c>
      <c r="S14" s="228">
        <f>VLOOKUP($B14,'Complexity of the crisis'!$C$6:$AN$300,38,FALSE)</f>
        <v>8.5</v>
      </c>
      <c r="T14" s="136" t="str">
        <f>VLOOKUP(B14,Lists!$C$3:$E$300,3,FALSE)</f>
        <v>Africa</v>
      </c>
      <c r="U14" s="144">
        <f>VLOOKUP(B14,'INFORM Severity - hidden'!$C$5:$V$300,20,FALSE)</f>
        <v>46260</v>
      </c>
    </row>
    <row r="15" spans="1:21" x14ac:dyDescent="0.35">
      <c r="A15" s="132" t="str">
        <f t="array" ref="A15">IFERROR(INDEX(Lists!$B$2:$B$200,SMALL(IF(Lists!$H$2:$H$200="Yes",ROW(Lists!$B$2:$B$200)),ROW(11:11))-1,1),"")</f>
        <v>Complex crisis in DRC</v>
      </c>
      <c r="B15" s="133" t="str">
        <f>VLOOKUP(A15,Lists!$B$2:$G$200,2,FALSE)</f>
        <v>COD001</v>
      </c>
      <c r="C15" s="133" t="str">
        <f>VLOOKUP(B15,'INFORM Severity - hidden'!$C$5:$D$200,2,FALSE)</f>
        <v>Democratic Republic of the Congo</v>
      </c>
      <c r="D15" s="133" t="str">
        <f>VLOOKUP(A15,Lists!$B$2:$G$200,3,FALSE)</f>
        <v>COD</v>
      </c>
      <c r="E15" s="133" t="str">
        <f>VLOOKUP(A15,Lists!$B$2:$G$200,5,FALSE)</f>
        <v>Conflict/ Violence,Floods</v>
      </c>
      <c r="F15" s="225">
        <f t="shared" si="0"/>
        <v>9.1999999999999993</v>
      </c>
      <c r="G15" s="234">
        <f t="array" ref="G15">_xlfn.IFS(F15="x", "x", F15&lt;=2, 1, F15&lt;=4, 2, F15&lt;=6, 3, F15&lt;=8, 4, F15&lt;=10, 5)</f>
        <v>5</v>
      </c>
      <c r="H15" s="226" t="str">
        <f t="shared" si="1"/>
        <v>Very High</v>
      </c>
      <c r="I15" s="227" t="str">
        <f>INDEX(Trends!$D$3:$D$404,MATCH(B15,Trends!$C$3:$C$404,0))</f>
        <v>Increasing</v>
      </c>
      <c r="J15" s="226" t="str">
        <f>VLOOKUP($B15,Reliability!$A$3:$I$300,9,FALSE)</f>
        <v>Very High</v>
      </c>
      <c r="K15" s="226">
        <f t="shared" si="2"/>
        <v>9.3968044329240179</v>
      </c>
      <c r="L15" s="226">
        <f>VLOOKUP($B15,'Impact of the crisis'!$C$6:$N$300,12,FALSE)</f>
        <v>10</v>
      </c>
      <c r="M15" s="226">
        <f>VLOOKUP($B15,'Impact of the crisis'!$C$6:$AB$300,26,FALSE)</f>
        <v>8.9817268969904838</v>
      </c>
      <c r="N15" s="226">
        <f>VLOOKUP($B15,'Conditions of people affected'!$C$6:$R$300,16,FALSE)</f>
        <v>8.9870912365148019</v>
      </c>
      <c r="O15" s="226">
        <f>VLOOKUP($B15,'Conditions of people affected'!$C$6:$R$300,9,FALSE)</f>
        <v>10</v>
      </c>
      <c r="P15" s="226">
        <f>VLOOKUP($B15,'Conditions of people affected'!$C$6:$R$300,15,FALSE)</f>
        <v>7.9741824730296038</v>
      </c>
      <c r="Q15" s="226">
        <f t="shared" si="3"/>
        <v>9.2177642291947013</v>
      </c>
      <c r="R15" s="226">
        <f>VLOOKUP($B15,'Complexity of the crisis'!$C$6:$AN$300,22,FALSE)</f>
        <v>7.8848249373747779</v>
      </c>
      <c r="S15" s="228">
        <f>VLOOKUP($B15,'Complexity of the crisis'!$C$6:$AN$300,38,FALSE)</f>
        <v>10</v>
      </c>
      <c r="T15" s="136" t="str">
        <f>VLOOKUP(B15,Lists!$C$3:$E$300,3,FALSE)</f>
        <v>Africa</v>
      </c>
      <c r="U15" s="144">
        <f>VLOOKUP(B15,'INFORM Severity - hidden'!$C$5:$V$300,20,FALSE)</f>
        <v>46260</v>
      </c>
    </row>
    <row r="16" spans="1:21" x14ac:dyDescent="0.35">
      <c r="A16" s="132" t="str">
        <f t="array" ref="A16">IFERROR(INDEX(Lists!$B$2:$B$200,SMALL(IF(Lists!$H$2:$H$200="Yes",ROW(Lists!$B$2:$B$200)),ROW(12:12))-1,1),"")</f>
        <v>Multiple Crises in Colombia</v>
      </c>
      <c r="B16" s="133" t="str">
        <f>VLOOKUP(A16,Lists!$B$2:$G$200,2,FALSE)</f>
        <v>COL004</v>
      </c>
      <c r="C16" s="133" t="str">
        <f>VLOOKUP(B16,'INFORM Severity - hidden'!$C$5:$D$200,2,FALSE)</f>
        <v>Colombia</v>
      </c>
      <c r="D16" s="133" t="str">
        <f>VLOOKUP(A16,Lists!$B$2:$G$200,3,FALSE)</f>
        <v>COL</v>
      </c>
      <c r="E16" s="133" t="str">
        <f>VLOOKUP(A16,Lists!$B$2:$G$200,5,FALSE)</f>
        <v>Conflict/ Violence,Drought/drier conditions,International Displacement,Floods,Earthquake</v>
      </c>
      <c r="F16" s="225">
        <f t="shared" si="0"/>
        <v>8.5</v>
      </c>
      <c r="G16" s="234">
        <f t="array" ref="G16">_xlfn.IFS(F16="x", "x", F16&lt;=2, 1, F16&lt;=4, 2, F16&lt;=6, 3, F16&lt;=8, 4, F16&lt;=10, 5)</f>
        <v>5</v>
      </c>
      <c r="H16" s="226" t="str">
        <f t="shared" si="1"/>
        <v>Very High</v>
      </c>
      <c r="I16" s="227" t="str">
        <f>INDEX(Trends!$D$3:$D$404,MATCH(B16,Trends!$C$3:$C$404,0))</f>
        <v>Increasing</v>
      </c>
      <c r="J16" s="226" t="str">
        <f>VLOOKUP($B16,Reliability!$A$3:$I$300,9,FALSE)</f>
        <v>Very High</v>
      </c>
      <c r="K16" s="226">
        <f t="shared" si="2"/>
        <v>9.3590517786661209</v>
      </c>
      <c r="L16" s="226">
        <f>VLOOKUP($B16,'Impact of the crisis'!$C$6:$N$300,12,FALSE)</f>
        <v>9.9864161496759909</v>
      </c>
      <c r="M16" s="226">
        <f>VLOOKUP($B16,'Impact of the crisis'!$C$6:$AB$300,26,FALSE)</f>
        <v>8.9243273558055893</v>
      </c>
      <c r="N16" s="226">
        <f>VLOOKUP($B16,'Conditions of people affected'!$C$6:$R$300,16,FALSE)</f>
        <v>9</v>
      </c>
      <c r="O16" s="226">
        <f>VLOOKUP($B16,'Conditions of people affected'!$C$6:$R$300,9,FALSE)</f>
        <v>10</v>
      </c>
      <c r="P16" s="226">
        <f>VLOOKUP($B16,'Conditions of people affected'!$C$6:$R$300,15,FALSE)</f>
        <v>8</v>
      </c>
      <c r="Q16" s="226">
        <f t="shared" si="3"/>
        <v>7.0258804192837312</v>
      </c>
      <c r="R16" s="226">
        <f>VLOOKUP($B16,'Complexity of the crisis'!$C$6:$AN$300,22,FALSE)</f>
        <v>5.7467543879312615</v>
      </c>
      <c r="S16" s="228">
        <f>VLOOKUP($B16,'Complexity of the crisis'!$C$6:$AN$300,38,FALSE)</f>
        <v>8</v>
      </c>
      <c r="T16" s="136" t="str">
        <f>VLOOKUP(B16,Lists!$C$3:$E$300,3,FALSE)</f>
        <v>Americas</v>
      </c>
      <c r="U16" s="144">
        <f>VLOOKUP(B16,'INFORM Severity - hidden'!$C$5:$V$300,20,FALSE)</f>
        <v>46265</v>
      </c>
    </row>
    <row r="17" spans="1:21" x14ac:dyDescent="0.35">
      <c r="A17" s="132" t="str">
        <f t="array" ref="A17">IFERROR(INDEX(Lists!$B$2:$B$200,SMALL(IF(Lists!$H$2:$H$200="Yes",ROW(Lists!$B$2:$B$200)),ROW(13:13))-1,1),"")</f>
        <v>Multiple Crises in Costa Rica</v>
      </c>
      <c r="B17" s="133" t="str">
        <f>VLOOKUP(A17,Lists!$B$2:$G$200,2,FALSE)</f>
        <v>CRI001</v>
      </c>
      <c r="C17" s="133" t="str">
        <f>VLOOKUP(B17,'INFORM Severity - hidden'!$C$5:$D$200,2,FALSE)</f>
        <v>Costa Rica</v>
      </c>
      <c r="D17" s="133" t="str">
        <f>VLOOKUP(A17,Lists!$B$2:$G$200,3,FALSE)</f>
        <v>CRI</v>
      </c>
      <c r="E17" s="133" t="str">
        <f>VLOOKUP(A17,Lists!$B$2:$G$200,5,FALSE)</f>
        <v>International Displacement</v>
      </c>
      <c r="F17" s="225">
        <f t="shared" si="0"/>
        <v>4.5999999999999996</v>
      </c>
      <c r="G17" s="234">
        <f t="array" ref="G17">_xlfn.IFS(F17="x", "x", F17&lt;=2, 1, F17&lt;=4, 2, F17&lt;=6, 3, F17&lt;=8, 4, F17&lt;=10, 5)</f>
        <v>3</v>
      </c>
      <c r="H17" s="226" t="str">
        <f t="shared" si="1"/>
        <v>Medium</v>
      </c>
      <c r="I17" s="227" t="str">
        <f>INDEX(Trends!$D$3:$D$404,MATCH(B17,Trends!$C$3:$C$404,0))</f>
        <v>Decreasing</v>
      </c>
      <c r="J17" s="226" t="str">
        <f>VLOOKUP($B17,Reliability!$A$3:$I$300,9,FALSE)</f>
        <v>High</v>
      </c>
      <c r="K17" s="226">
        <f t="shared" si="2"/>
        <v>5.4901959992610374</v>
      </c>
      <c r="L17" s="226">
        <f>VLOOKUP($B17,'Impact of the crisis'!$C$6:$N$300,12,FALSE)</f>
        <v>7.6235808464458188</v>
      </c>
      <c r="M17" s="226">
        <f>VLOOKUP($B17,'Impact of the crisis'!$C$6:$AB$300,26,FALSE)</f>
        <v>3.9751652370564305</v>
      </c>
      <c r="N17" s="226">
        <f>VLOOKUP($B17,'Conditions of people affected'!$C$6:$R$300,16,FALSE)</f>
        <v>5.2522239273082576</v>
      </c>
      <c r="O17" s="226">
        <f>VLOOKUP($B17,'Conditions of people affected'!$C$6:$R$300,9,FALSE)</f>
        <v>4.6246327544624322</v>
      </c>
      <c r="P17" s="226">
        <f>VLOOKUP($B17,'Conditions of people affected'!$C$6:$R$300,15,FALSE)</f>
        <v>5.8798151001540839</v>
      </c>
      <c r="Q17" s="226">
        <f t="shared" si="3"/>
        <v>2.9176470889755302</v>
      </c>
      <c r="R17" s="226">
        <f>VLOOKUP($B17,'Complexity of the crisis'!$C$6:$AN$300,22,FALSE)</f>
        <v>2.2907363061728399</v>
      </c>
      <c r="S17" s="228">
        <f>VLOOKUP($B17,'Complexity of the crisis'!$C$6:$AN$300,38,FALSE)</f>
        <v>3.5</v>
      </c>
      <c r="T17" s="136" t="str">
        <f>VLOOKUP(B17,Lists!$C$3:$E$300,3,FALSE)</f>
        <v>Americas</v>
      </c>
      <c r="U17" s="144">
        <f>VLOOKUP(B17,'INFORM Severity - hidden'!$C$5:$V$300,20,FALSE)</f>
        <v>46265</v>
      </c>
    </row>
    <row r="18" spans="1:21" x14ac:dyDescent="0.35">
      <c r="A18" s="132" t="str">
        <f t="array" ref="A18">IFERROR(INDEX(Lists!$B$2:$B$200,SMALL(IF(Lists!$H$2:$H$200="Yes",ROW(Lists!$B$2:$B$200)),ROW(14:14))-1,1),"")</f>
        <v>Complex Crisis in Cuba</v>
      </c>
      <c r="B18" s="133" t="str">
        <f>VLOOKUP(A18,Lists!$B$2:$G$200,2,FALSE)</f>
        <v>CUB004</v>
      </c>
      <c r="C18" s="133" t="str">
        <f>VLOOKUP(B18,'INFORM Severity - hidden'!$C$5:$D$200,2,FALSE)</f>
        <v>Cuba</v>
      </c>
      <c r="D18" s="133" t="str">
        <f>VLOOKUP(A18,Lists!$B$2:$G$200,3,FALSE)</f>
        <v>CUB</v>
      </c>
      <c r="E18" s="133" t="str">
        <f>VLOOKUP(A18,Lists!$B$2:$G$200,5,FALSE)</f>
        <v>Cyclone,Political/economic crisis</v>
      </c>
      <c r="F18" s="225">
        <f t="shared" si="0"/>
        <v>6.9</v>
      </c>
      <c r="G18" s="234">
        <f t="array" ref="G18">_xlfn.IFS(F18="x", "x", F18&lt;=2, 1, F18&lt;=4, 2, F18&lt;=6, 3, F18&lt;=8, 4, F18&lt;=10, 5)</f>
        <v>4</v>
      </c>
      <c r="H18" s="226" t="str">
        <f t="shared" si="1"/>
        <v>High</v>
      </c>
      <c r="I18" s="227" t="str">
        <f>INDEX(Trends!$D$3:$D$404,MATCH(B18,Trends!$C$3:$C$404,0))</f>
        <v>Stable</v>
      </c>
      <c r="J18" s="226" t="str">
        <f>VLOOKUP($B18,Reliability!$A$3:$I$300,9,FALSE)</f>
        <v>High</v>
      </c>
      <c r="K18" s="226">
        <f t="shared" si="2"/>
        <v>8.5336028665525969</v>
      </c>
      <c r="L18" s="226">
        <f>VLOOKUP($B18,'Impact of the crisis'!$C$6:$N$300,12,FALSE)</f>
        <v>8.4353198750763489</v>
      </c>
      <c r="M18" s="226">
        <f>VLOOKUP($B18,'Impact of the crisis'!$C$6:$AB$300,26,FALSE)</f>
        <v>8.5813822171476808</v>
      </c>
      <c r="N18" s="226">
        <f>VLOOKUP($B18,'Conditions of people affected'!$C$6:$R$300,16,FALSE)</f>
        <v>7.372082150663168</v>
      </c>
      <c r="O18" s="226">
        <f>VLOOKUP($B18,'Conditions of people affected'!$C$6:$R$300,9,FALSE)</f>
        <v>8.7441643013263359</v>
      </c>
      <c r="P18" s="226">
        <f>VLOOKUP($B18,'Conditions of people affected'!$C$6:$R$300,15,FALSE)</f>
        <v>6.0000000000000009</v>
      </c>
      <c r="Q18" s="226">
        <f t="shared" si="3"/>
        <v>4.8873510702007268</v>
      </c>
      <c r="R18" s="226">
        <f>VLOOKUP($B18,'Complexity of the crisis'!$C$6:$AN$300,22,FALSE)</f>
        <v>5.2520068855397577</v>
      </c>
      <c r="S18" s="228">
        <f>VLOOKUP($B18,'Complexity of the crisis'!$C$6:$AN$300,38,FALSE)</f>
        <v>4.5</v>
      </c>
      <c r="T18" s="136" t="str">
        <f>VLOOKUP(B18,Lists!$C$3:$E$300,3,FALSE)</f>
        <v>Americas</v>
      </c>
      <c r="U18" s="144">
        <f>VLOOKUP(B18,'INFORM Severity - hidden'!$C$5:$V$300,20,FALSE)</f>
        <v>46265</v>
      </c>
    </row>
    <row r="19" spans="1:21" x14ac:dyDescent="0.35">
      <c r="A19" s="132" t="str">
        <f t="array" ref="A19">IFERROR(INDEX(Lists!$B$2:$B$200,SMALL(IF(Lists!$H$2:$H$200="Yes",ROW(Lists!$B$2:$B$200)),ROW(15:15))-1,1),"")</f>
        <v>Multiple crises in Djibouti</v>
      </c>
      <c r="B19" s="133" t="str">
        <f>VLOOKUP(A19,Lists!$B$2:$G$200,2,FALSE)</f>
        <v>DJI001</v>
      </c>
      <c r="C19" s="133" t="str">
        <f>VLOOKUP(B19,'INFORM Severity - hidden'!$C$5:$D$200,2,FALSE)</f>
        <v>Djibouti</v>
      </c>
      <c r="D19" s="133" t="str">
        <f>VLOOKUP(A19,Lists!$B$2:$G$200,3,FALSE)</f>
        <v>DJI</v>
      </c>
      <c r="E19" s="133" t="str">
        <f>VLOOKUP(A19,Lists!$B$2:$G$200,5,FALSE)</f>
        <v>International Displacement,Drought/drier conditions</v>
      </c>
      <c r="F19" s="225">
        <f t="shared" si="0"/>
        <v>6.1</v>
      </c>
      <c r="G19" s="234">
        <f t="array" ref="G19">_xlfn.IFS(F19="x", "x", F19&lt;=2, 1, F19&lt;=4, 2, F19&lt;=6, 3, F19&lt;=8, 4, F19&lt;=10, 5)</f>
        <v>4</v>
      </c>
      <c r="H19" s="226" t="str">
        <f t="shared" si="1"/>
        <v>High</v>
      </c>
      <c r="I19" s="227" t="str">
        <f>INDEX(Trends!$D$3:$D$404,MATCH(B19,Trends!$C$3:$C$404,0))</f>
        <v>Increasing</v>
      </c>
      <c r="J19" s="226" t="str">
        <f>VLOOKUP($B19,Reliability!$A$3:$I$300,9,FALSE)</f>
        <v>High</v>
      </c>
      <c r="K19" s="226">
        <f t="shared" si="2"/>
        <v>5.2790749724539481</v>
      </c>
      <c r="L19" s="226">
        <f>VLOOKUP($B19,'Impact of the crisis'!$C$6:$N$300,12,FALSE)</f>
        <v>6.2034512628639327</v>
      </c>
      <c r="M19" s="226">
        <f>VLOOKUP($B19,'Impact of the crisis'!$C$6:$AB$300,26,FALSE)</f>
        <v>4.7535128284759667</v>
      </c>
      <c r="N19" s="226">
        <f>VLOOKUP($B19,'Conditions of people affected'!$C$6:$R$300,16,FALSE)</f>
        <v>5.9271225190856747</v>
      </c>
      <c r="O19" s="226">
        <f>VLOOKUP($B19,'Conditions of people affected'!$C$6:$R$300,9,FALSE)</f>
        <v>4.7712125471966225</v>
      </c>
      <c r="P19" s="226">
        <f>VLOOKUP($B19,'Conditions of people affected'!$C$6:$R$300,15,FALSE)</f>
        <v>7.0830324909747278</v>
      </c>
      <c r="Q19" s="226">
        <f t="shared" si="3"/>
        <v>7.0016260948332389</v>
      </c>
      <c r="R19" s="226">
        <f>VLOOKUP($B19,'Complexity of the crisis'!$C$6:$AN$300,22,FALSE)</f>
        <v>5.6828681150000007</v>
      </c>
      <c r="S19" s="228">
        <f>VLOOKUP($B19,'Complexity of the crisis'!$C$6:$AN$300,38,FALSE)</f>
        <v>8</v>
      </c>
      <c r="T19" s="136" t="str">
        <f>VLOOKUP(B19,Lists!$C$3:$E$300,3,FALSE)</f>
        <v>Africa</v>
      </c>
      <c r="U19" s="144">
        <f>VLOOKUP(B19,'INFORM Severity - hidden'!$C$5:$V$300,20,FALSE)</f>
        <v>46261</v>
      </c>
    </row>
    <row r="20" spans="1:21" x14ac:dyDescent="0.35">
      <c r="A20" s="132" t="str">
        <f t="array" ref="A20">IFERROR(INDEX(Lists!$B$2:$B$200,SMALL(IF(Lists!$H$2:$H$200="Yes",ROW(Lists!$B$2:$B$200)),ROW(16:16))-1,1),"")</f>
        <v>Displacement from Venezuela to Dominican Republic</v>
      </c>
      <c r="B20" s="133" t="str">
        <f>VLOOKUP(A20,Lists!$B$2:$G$200,2,FALSE)</f>
        <v>DOM002</v>
      </c>
      <c r="C20" s="133" t="str">
        <f>VLOOKUP(B20,'INFORM Severity - hidden'!$C$5:$D$200,2,FALSE)</f>
        <v>Dominican Republic</v>
      </c>
      <c r="D20" s="133" t="str">
        <f>VLOOKUP(A20,Lists!$B$2:$G$200,3,FALSE)</f>
        <v>DOM</v>
      </c>
      <c r="E20" s="133" t="str">
        <f>VLOOKUP(A20,Lists!$B$2:$G$200,5,FALSE)</f>
        <v>International Displacement</v>
      </c>
      <c r="F20" s="225">
        <f t="shared" si="0"/>
        <v>4.2</v>
      </c>
      <c r="G20" s="234">
        <f t="array" ref="G20">_xlfn.IFS(F20="x", "x", F20&lt;=2, 1, F20&lt;=4, 2, F20&lt;=6, 3, F20&lt;=8, 4, F20&lt;=10, 5)</f>
        <v>3</v>
      </c>
      <c r="H20" s="226" t="str">
        <f t="shared" si="1"/>
        <v>Medium</v>
      </c>
      <c r="I20" s="227" t="str">
        <f>INDEX(Trends!$D$3:$D$404,MATCH(B20,Trends!$C$3:$C$404,0))</f>
        <v>Increasing</v>
      </c>
      <c r="J20" s="226" t="str">
        <f>VLOOKUP($B20,Reliability!$A$3:$I$300,9,FALSE)</f>
        <v>Medium</v>
      </c>
      <c r="K20" s="226">
        <f t="shared" si="2"/>
        <v>6.5361641835019801</v>
      </c>
      <c r="L20" s="226">
        <f>VLOOKUP($B20,'Impact of the crisis'!$C$6:$N$300,12,FALSE)</f>
        <v>8.1938730519018659</v>
      </c>
      <c r="M20" s="226">
        <f>VLOOKUP($B20,'Impact of the crisis'!$C$6:$AB$300,26,FALSE)</f>
        <v>5.3819220365798763</v>
      </c>
      <c r="N20" s="226">
        <f>VLOOKUP($B20,'Conditions of people affected'!$C$6:$R$300,16,FALSE)</f>
        <v>2.733714124661442</v>
      </c>
      <c r="O20" s="226">
        <f>VLOOKUP($B20,'Conditions of people affected'!$C$6:$R$300,9,FALSE)</f>
        <v>2.8169934667141892</v>
      </c>
      <c r="P20" s="226">
        <f>VLOOKUP($B20,'Conditions of people affected'!$C$6:$R$300,15,FALSE)</f>
        <v>2.6504347826086954</v>
      </c>
      <c r="Q20" s="226">
        <f t="shared" si="3"/>
        <v>4.0339065648492447</v>
      </c>
      <c r="R20" s="226">
        <f>VLOOKUP($B20,'Complexity of the crisis'!$C$6:$AN$300,22,FALSE)</f>
        <v>4.0676514594444448</v>
      </c>
      <c r="S20" s="228">
        <f>VLOOKUP($B20,'Complexity of the crisis'!$C$6:$AN$300,38,FALSE)</f>
        <v>4</v>
      </c>
      <c r="T20" s="136" t="str">
        <f>VLOOKUP(B20,Lists!$C$3:$E$300,3,FALSE)</f>
        <v>Americas</v>
      </c>
      <c r="U20" s="144">
        <f>VLOOKUP(B20,'INFORM Severity - hidden'!$C$5:$V$300,20,FALSE)</f>
        <v>46265</v>
      </c>
    </row>
    <row r="21" spans="1:21" x14ac:dyDescent="0.35">
      <c r="A21" s="132" t="str">
        <f t="array" ref="A21">IFERROR(INDEX(Lists!$B$2:$B$200,SMALL(IF(Lists!$H$2:$H$200="Yes",ROW(Lists!$B$2:$B$200)),ROW(17:17))-1,1),"")</f>
        <v>Multiple crises in Algeria</v>
      </c>
      <c r="B21" s="133" t="str">
        <f>VLOOKUP(A21,Lists!$B$2:$G$200,2,FALSE)</f>
        <v>DZA004</v>
      </c>
      <c r="C21" s="133" t="str">
        <f>VLOOKUP(B21,'INFORM Severity - hidden'!$C$5:$D$200,2,FALSE)</f>
        <v>Algeria</v>
      </c>
      <c r="D21" s="133" t="str">
        <f>VLOOKUP(A21,Lists!$B$2:$G$200,3,FALSE)</f>
        <v>DZA</v>
      </c>
      <c r="E21" s="133" t="str">
        <f>VLOOKUP(A21,Lists!$B$2:$G$200,5,FALSE)</f>
        <v>International Displacement</v>
      </c>
      <c r="F21" s="225">
        <f t="shared" si="0"/>
        <v>5.6</v>
      </c>
      <c r="G21" s="234">
        <f t="array" ref="G21">_xlfn.IFS(F21="x", "x", F21&lt;=2, 1, F21&lt;=4, 2, F21&lt;=6, 3, F21&lt;=8, 4, F21&lt;=10, 5)</f>
        <v>3</v>
      </c>
      <c r="H21" s="226" t="str">
        <f t="shared" si="1"/>
        <v>Medium</v>
      </c>
      <c r="I21" s="227" t="str">
        <f>INDEX(Trends!$D$3:$D$404,MATCH(B21,Trends!$C$3:$C$404,0))</f>
        <v>Decreasing</v>
      </c>
      <c r="J21" s="226" t="str">
        <f>VLOOKUP($B21,Reliability!$A$3:$I$300,9,FALSE)</f>
        <v>High</v>
      </c>
      <c r="K21" s="226">
        <f t="shared" si="2"/>
        <v>8.2969876972495431</v>
      </c>
      <c r="L21" s="226">
        <f>VLOOKUP($B21,'Impact of the crisis'!$C$6:$N$300,12,FALSE)</f>
        <v>10</v>
      </c>
      <c r="M21" s="226">
        <f>VLOOKUP($B21,'Impact of the crisis'!$C$6:$AB$300,26,FALSE)</f>
        <v>6.6325761989437222</v>
      </c>
      <c r="N21" s="226">
        <f>VLOOKUP($B21,'Conditions of people affected'!$C$6:$R$300,16,FALSE)</f>
        <v>4.1641068615318915</v>
      </c>
      <c r="O21" s="226">
        <f>VLOOKUP($B21,'Conditions of people affected'!$C$6:$R$300,9,FALSE)</f>
        <v>5.4945333699364403</v>
      </c>
      <c r="P21" s="226">
        <f>VLOOKUP($B21,'Conditions of people affected'!$C$6:$R$300,15,FALSE)</f>
        <v>2.8336803531273422</v>
      </c>
      <c r="Q21" s="226">
        <f t="shared" si="3"/>
        <v>4.7774989867250524</v>
      </c>
      <c r="R21" s="226">
        <f>VLOOKUP($B21,'Complexity of the crisis'!$C$6:$AN$300,22,FALSE)</f>
        <v>5.8405741347675963</v>
      </c>
      <c r="S21" s="228">
        <f>VLOOKUP($B21,'Complexity of the crisis'!$C$6:$AN$300,38,FALSE)</f>
        <v>3.5</v>
      </c>
      <c r="T21" s="136" t="str">
        <f>VLOOKUP(B21,Lists!$C$3:$E$300,3,FALSE)</f>
        <v>Africa</v>
      </c>
      <c r="U21" s="144">
        <f>VLOOKUP(B21,'INFORM Severity - hidden'!$C$5:$V$300,20,FALSE)</f>
        <v>46265</v>
      </c>
    </row>
    <row r="22" spans="1:21" x14ac:dyDescent="0.35">
      <c r="A22" s="132" t="str">
        <f t="array" ref="A22">IFERROR(INDEX(Lists!$B$2:$B$200,SMALL(IF(Lists!$H$2:$H$200="Yes",ROW(Lists!$B$2:$B$200)),ROW(18:18))-1,1),"")</f>
        <v>Multiple crises in Ecuador</v>
      </c>
      <c r="B22" s="133" t="str">
        <f>VLOOKUP(A22,Lists!$B$2:$G$200,2,FALSE)</f>
        <v>ECU001</v>
      </c>
      <c r="C22" s="133" t="str">
        <f>VLOOKUP(B22,'INFORM Severity - hidden'!$C$5:$D$200,2,FALSE)</f>
        <v>Ecuador</v>
      </c>
      <c r="D22" s="133" t="str">
        <f>VLOOKUP(A22,Lists!$B$2:$G$200,3,FALSE)</f>
        <v>ECU</v>
      </c>
      <c r="E22" s="133" t="str">
        <f>VLOOKUP(A22,Lists!$B$2:$G$200,5,FALSE)</f>
        <v>International Displacement,Conflict/ Violence,Floods</v>
      </c>
      <c r="F22" s="225">
        <f t="shared" si="0"/>
        <v>7.4</v>
      </c>
      <c r="G22" s="234">
        <f t="array" ref="G22">_xlfn.IFS(F22="x", "x", F22&lt;=2, 1, F22&lt;=4, 2, F22&lt;=6, 3, F22&lt;=8, 4, F22&lt;=10, 5)</f>
        <v>4</v>
      </c>
      <c r="H22" s="226" t="str">
        <f t="shared" si="1"/>
        <v>High</v>
      </c>
      <c r="I22" s="227" t="str">
        <f>INDEX(Trends!$D$3:$D$404,MATCH(B22,Trends!$C$3:$C$404,0))</f>
        <v>Increasing</v>
      </c>
      <c r="J22" s="226" t="str">
        <f>VLOOKUP($B22,Reliability!$A$3:$I$300,9,FALSE)</f>
        <v>High</v>
      </c>
      <c r="K22" s="226">
        <f t="shared" si="2"/>
        <v>8.5612831606030539</v>
      </c>
      <c r="L22" s="226">
        <f>VLOOKUP($B22,'Impact of the crisis'!$C$6:$N$300,12,FALSE)</f>
        <v>9.1190626030884179</v>
      </c>
      <c r="M22" s="226">
        <f>VLOOKUP($B22,'Impact of the crisis'!$C$6:$AB$300,26,FALSE)</f>
        <v>8.2263067805924113</v>
      </c>
      <c r="N22" s="226">
        <f>VLOOKUP($B22,'Conditions of people affected'!$C$6:$R$300,16,FALSE)</f>
        <v>7.2484017813122534</v>
      </c>
      <c r="O22" s="226">
        <f>VLOOKUP($B22,'Conditions of people affected'!$C$6:$R$300,9,FALSE)</f>
        <v>8.2904612515906226</v>
      </c>
      <c r="P22" s="226">
        <f>VLOOKUP($B22,'Conditions of people affected'!$C$6:$R$300,15,FALSE)</f>
        <v>6.2063423110338833</v>
      </c>
      <c r="Q22" s="226">
        <f t="shared" si="3"/>
        <v>6.6845121926210949</v>
      </c>
      <c r="R22" s="226">
        <f>VLOOKUP($B22,'Complexity of the crisis'!$C$6:$AN$300,22,FALSE)</f>
        <v>5.6848648998313314</v>
      </c>
      <c r="S22" s="228">
        <f>VLOOKUP($B22,'Complexity of the crisis'!$C$6:$AN$300,38,FALSE)</f>
        <v>7.5</v>
      </c>
      <c r="T22" s="136" t="str">
        <f>VLOOKUP(B22,Lists!$C$3:$E$300,3,FALSE)</f>
        <v>Americas</v>
      </c>
      <c r="U22" s="144">
        <f>VLOOKUP(B22,'INFORM Severity - hidden'!$C$5:$V$300,20,FALSE)</f>
        <v>46265</v>
      </c>
    </row>
    <row r="23" spans="1:21" x14ac:dyDescent="0.35">
      <c r="A23" s="132" t="str">
        <f t="array" ref="A23">IFERROR(INDEX(Lists!$B$2:$B$200,SMALL(IF(Lists!$H$2:$H$200="Yes",ROW(Lists!$B$2:$B$200)),ROW(19:19))-1,1),"")</f>
        <v>International displacement to Egypt</v>
      </c>
      <c r="B23" s="133" t="str">
        <f>VLOOKUP(A23,Lists!$B$2:$G$200,2,FALSE)</f>
        <v>EGY004</v>
      </c>
      <c r="C23" s="133" t="str">
        <f>VLOOKUP(B23,'INFORM Severity - hidden'!$C$5:$D$200,2,FALSE)</f>
        <v>Egypt</v>
      </c>
      <c r="D23" s="133" t="str">
        <f>VLOOKUP(A23,Lists!$B$2:$G$200,3,FALSE)</f>
        <v>EGY</v>
      </c>
      <c r="E23" s="133" t="str">
        <f>VLOOKUP(A23,Lists!$B$2:$G$200,5,FALSE)</f>
        <v>International Displacement</v>
      </c>
      <c r="F23" s="225">
        <f t="shared" si="0"/>
        <v>5.8</v>
      </c>
      <c r="G23" s="234">
        <f t="array" ref="G23">_xlfn.IFS(F23="x", "x", F23&lt;=2, 1, F23&lt;=4, 2, F23&lt;=6, 3, F23&lt;=8, 4, F23&lt;=10, 5)</f>
        <v>3</v>
      </c>
      <c r="H23" s="226" t="str">
        <f t="shared" si="1"/>
        <v>Medium</v>
      </c>
      <c r="I23" s="227" t="str">
        <f>INDEX(Trends!$D$3:$D$404,MATCH(B23,Trends!$C$3:$C$404,0))</f>
        <v>Increasing</v>
      </c>
      <c r="J23" s="226" t="str">
        <f>VLOOKUP($B23,Reliability!$A$3:$I$300,9,FALSE)</f>
        <v>Very High</v>
      </c>
      <c r="K23" s="226">
        <f t="shared" si="2"/>
        <v>4.80923522759036</v>
      </c>
      <c r="L23" s="226">
        <f>VLOOKUP($B23,'Impact of the crisis'!$C$6:$N$300,12,FALSE)</f>
        <v>4.1284500012042509</v>
      </c>
      <c r="M23" s="226">
        <f>VLOOKUP($B23,'Impact of the crisis'!$C$6:$AB$300,26,FALSE)</f>
        <v>5.1243175116140431</v>
      </c>
      <c r="N23" s="226">
        <f>VLOOKUP($B23,'Conditions of people affected'!$C$6:$R$300,16,FALSE)</f>
        <v>6.6131796833358001</v>
      </c>
      <c r="O23" s="226">
        <f>VLOOKUP($B23,'Conditions of people affected'!$C$6:$R$300,9,FALSE)</f>
        <v>7.2263593666715993</v>
      </c>
      <c r="P23" s="226">
        <f>VLOOKUP($B23,'Conditions of people affected'!$C$6:$R$300,15,FALSE)</f>
        <v>6.0000000000000009</v>
      </c>
      <c r="Q23" s="226">
        <f t="shared" si="3"/>
        <v>5.0446392368495037</v>
      </c>
      <c r="R23" s="226">
        <f>VLOOKUP($B23,'Complexity of the crisis'!$C$6:$AN$300,22,FALSE)</f>
        <v>4.552324398024691</v>
      </c>
      <c r="S23" s="228">
        <f>VLOOKUP($B23,'Complexity of the crisis'!$C$6:$AN$300,38,FALSE)</f>
        <v>5.5</v>
      </c>
      <c r="T23" s="136" t="str">
        <f>VLOOKUP(B23,Lists!$C$3:$E$300,3,FALSE)</f>
        <v>Africa</v>
      </c>
      <c r="U23" s="144">
        <f>VLOOKUP(B23,'INFORM Severity - hidden'!$C$5:$V$300,20,FALSE)</f>
        <v>46265</v>
      </c>
    </row>
    <row r="24" spans="1:21" x14ac:dyDescent="0.35">
      <c r="A24" s="132" t="str">
        <f t="array" ref="A24">IFERROR(INDEX(Lists!$B$2:$B$200,SMALL(IF(Lists!$H$2:$H$200="Yes",ROW(Lists!$B$2:$B$200)),ROW(20:20))-1,1),"")</f>
        <v>Complex crisis in Eritrea</v>
      </c>
      <c r="B24" s="133" t="str">
        <f>VLOOKUP(A24,Lists!$B$2:$G$200,2,FALSE)</f>
        <v>ERI001</v>
      </c>
      <c r="C24" s="133" t="str">
        <f>VLOOKUP(B24,'INFORM Severity - hidden'!$C$5:$D$200,2,FALSE)</f>
        <v>Eritrea</v>
      </c>
      <c r="D24" s="133" t="str">
        <f>VLOOKUP(A24,Lists!$B$2:$G$200,3,FALSE)</f>
        <v>ERI</v>
      </c>
      <c r="E24" s="133" t="str">
        <f>VLOOKUP(A24,Lists!$B$2:$G$200,5,FALSE)</f>
        <v>International Displacement,Political/economic crisis</v>
      </c>
      <c r="F24" s="225">
        <f t="shared" si="0"/>
        <v>6.5</v>
      </c>
      <c r="G24" s="234">
        <f t="array" ref="G24">_xlfn.IFS(F24="x", "x", F24&lt;=2, 1, F24&lt;=4, 2, F24&lt;=6, 3, F24&lt;=8, 4, F24&lt;=10, 5)</f>
        <v>4</v>
      </c>
      <c r="H24" s="226" t="str">
        <f t="shared" si="1"/>
        <v>High</v>
      </c>
      <c r="I24" s="227" t="str">
        <f>INDEX(Trends!$D$3:$D$404,MATCH(B24,Trends!$C$3:$C$404,0))</f>
        <v>Increasing</v>
      </c>
      <c r="J24" s="226" t="str">
        <f>VLOOKUP($B24,Reliability!$A$3:$I$300,9,FALSE)</f>
        <v>High</v>
      </c>
      <c r="K24" s="226">
        <f t="shared" si="2"/>
        <v>7.4555568209430687</v>
      </c>
      <c r="L24" s="226">
        <f>VLOOKUP($B24,'Impact of the crisis'!$C$6:$N$300,12,FALSE)</f>
        <v>7.7607261483279011</v>
      </c>
      <c r="M24" s="226">
        <f>VLOOKUP($B24,'Impact of the crisis'!$C$6:$AB$300,26,FALSE)</f>
        <v>7.2927016110658744</v>
      </c>
      <c r="N24" s="226">
        <f>VLOOKUP($B24,'Conditions of people affected'!$C$6:$R$300,16,FALSE)</f>
        <v>6.4023211419303756</v>
      </c>
      <c r="O24" s="226">
        <f>VLOOKUP($B24,'Conditions of people affected'!$C$6:$R$300,9,FALSE)</f>
        <v>6.8046422838607512</v>
      </c>
      <c r="P24" s="226">
        <f>VLOOKUP($B24,'Conditions of people affected'!$C$6:$R$300,15,FALSE)</f>
        <v>6.0000000000000009</v>
      </c>
      <c r="Q24" s="226">
        <f t="shared" si="3"/>
        <v>5.9584983241753777</v>
      </c>
      <c r="R24" s="226">
        <f>VLOOKUP($B24,'Complexity of the crisis'!$C$6:$AN$300,22,FALSE)</f>
        <v>7.0952326776851846</v>
      </c>
      <c r="S24" s="228">
        <f>VLOOKUP($B24,'Complexity of the crisis'!$C$6:$AN$300,38,FALSE)</f>
        <v>4.5</v>
      </c>
      <c r="T24" s="136" t="str">
        <f>VLOOKUP(B24,Lists!$C$3:$E$300,3,FALSE)</f>
        <v>Africa</v>
      </c>
      <c r="U24" s="144">
        <f>VLOOKUP(B24,'INFORM Severity - hidden'!$C$5:$V$300,20,FALSE)</f>
        <v>46259</v>
      </c>
    </row>
    <row r="25" spans="1:21" x14ac:dyDescent="0.35">
      <c r="A25" s="132" t="str">
        <f t="array" ref="A25">IFERROR(INDEX(Lists!$B$2:$B$200,SMALL(IF(Lists!$H$2:$H$200="Yes",ROW(Lists!$B$2:$B$200)),ROW(21:21))-1,1),"")</f>
        <v>International displacement to Spain</v>
      </c>
      <c r="B25" s="133" t="str">
        <f>VLOOKUP(A25,Lists!$B$2:$G$200,2,FALSE)</f>
        <v>ESP002</v>
      </c>
      <c r="C25" s="133" t="str">
        <f>VLOOKUP(B25,'INFORM Severity - hidden'!$C$5:$D$200,2,FALSE)</f>
        <v>Spain</v>
      </c>
      <c r="D25" s="133" t="str">
        <f>VLOOKUP(A25,Lists!$B$2:$G$200,3,FALSE)</f>
        <v>ESP</v>
      </c>
      <c r="E25" s="133" t="str">
        <f>VLOOKUP(A25,Lists!$B$2:$G$200,5,FALSE)</f>
        <v>International Displacement</v>
      </c>
      <c r="F25" s="225">
        <f t="shared" si="0"/>
        <v>3.5</v>
      </c>
      <c r="G25" s="234">
        <f t="array" ref="G25">_xlfn.IFS(F25="x", "x", F25&lt;=2, 1, F25&lt;=4, 2, F25&lt;=6, 3, F25&lt;=8, 4, F25&lt;=10, 5)</f>
        <v>2</v>
      </c>
      <c r="H25" s="226" t="str">
        <f t="shared" si="1"/>
        <v>Low</v>
      </c>
      <c r="I25" s="227" t="str">
        <f>INDEX(Trends!$D$3:$D$404,MATCH(B25,Trends!$C$3:$C$404,0))</f>
        <v>Increasing</v>
      </c>
      <c r="J25" s="226" t="str">
        <f>VLOOKUP($B25,Reliability!$A$3:$I$300,9,FALSE)</f>
        <v>Very High</v>
      </c>
      <c r="K25" s="226">
        <f t="shared" si="2"/>
        <v>5.2167062455459785</v>
      </c>
      <c r="L25" s="226">
        <f>VLOOKUP($B25,'Impact of the crisis'!$C$6:$N$300,12,FALSE)</f>
        <v>4.5608588069573361</v>
      </c>
      <c r="M25" s="226">
        <f>VLOOKUP($B25,'Impact of the crisis'!$C$6:$AB$300,26,FALSE)</f>
        <v>5.5195776299857755</v>
      </c>
      <c r="N25" s="226">
        <f>VLOOKUP($B25,'Conditions of people affected'!$C$6:$R$300,16,FALSE)</f>
        <v>2.8042629675287181</v>
      </c>
      <c r="O25" s="226">
        <f>VLOOKUP($B25,'Conditions of people affected'!$C$6:$R$300,9,FALSE)</f>
        <v>3.0635936412535791</v>
      </c>
      <c r="P25" s="226">
        <f>VLOOKUP($B25,'Conditions of people affected'!$C$6:$R$300,15,FALSE)</f>
        <v>2.5449322938038574</v>
      </c>
      <c r="Q25" s="226">
        <f t="shared" si="3"/>
        <v>3.0376561248448146</v>
      </c>
      <c r="R25" s="226">
        <f>VLOOKUP($B25,'Complexity of the crisis'!$C$6:$AN$300,22,FALSE)</f>
        <v>3.5417423532090058</v>
      </c>
      <c r="S25" s="228">
        <f>VLOOKUP($B25,'Complexity of the crisis'!$C$6:$AN$300,38,FALSE)</f>
        <v>2.5</v>
      </c>
      <c r="T25" s="136" t="str">
        <f>VLOOKUP(B25,Lists!$C$3:$E$300,3,FALSE)</f>
        <v>Europe</v>
      </c>
      <c r="U25" s="144">
        <f>VLOOKUP(B25,'INFORM Severity - hidden'!$C$5:$V$300,20,FALSE)</f>
        <v>46265</v>
      </c>
    </row>
    <row r="26" spans="1:21" x14ac:dyDescent="0.35">
      <c r="A26" s="132" t="str">
        <f t="array" ref="A26">IFERROR(INDEX(Lists!$B$2:$B$200,SMALL(IF(Lists!$H$2:$H$200="Yes",ROW(Lists!$B$2:$B$200)),ROW(22:22))-1,1),"")</f>
        <v>Multiple crises in Ethiopia</v>
      </c>
      <c r="B26" s="133" t="str">
        <f>VLOOKUP(A26,Lists!$B$2:$G$200,2,FALSE)</f>
        <v>ETH001</v>
      </c>
      <c r="C26" s="133" t="str">
        <f>VLOOKUP(B26,'INFORM Severity - hidden'!$C$5:$D$200,2,FALSE)</f>
        <v>Ethiopia</v>
      </c>
      <c r="D26" s="133" t="str">
        <f>VLOOKUP(A26,Lists!$B$2:$G$200,3,FALSE)</f>
        <v>ETH</v>
      </c>
      <c r="E26" s="133" t="str">
        <f>VLOOKUP(A26,Lists!$B$2:$G$200,5,FALSE)</f>
        <v>International Displacement,Conflict/ Violence,Drought/drier conditions,Floods,Political/economic crisis</v>
      </c>
      <c r="F26" s="225">
        <f t="shared" si="0"/>
        <v>8.6999999999999993</v>
      </c>
      <c r="G26" s="234">
        <f t="array" ref="G26">_xlfn.IFS(F26="x", "x", F26&lt;=2, 1, F26&lt;=4, 2, F26&lt;=6, 3, F26&lt;=8, 4, F26&lt;=10, 5)</f>
        <v>5</v>
      </c>
      <c r="H26" s="226" t="str">
        <f t="shared" si="1"/>
        <v>Very High</v>
      </c>
      <c r="I26" s="227" t="str">
        <f>INDEX(Trends!$D$3:$D$404,MATCH(B26,Trends!$C$3:$C$404,0))</f>
        <v>Stable</v>
      </c>
      <c r="J26" s="226" t="str">
        <f>VLOOKUP($B26,Reliability!$A$3:$I$300,9,FALSE)</f>
        <v>High</v>
      </c>
      <c r="K26" s="226">
        <f t="shared" si="2"/>
        <v>9.3505732057957118</v>
      </c>
      <c r="L26" s="226">
        <f>VLOOKUP($B26,'Impact of the crisis'!$C$6:$N$300,12,FALSE)</f>
        <v>9.9999993218807806</v>
      </c>
      <c r="M26" s="226">
        <f>VLOOKUP($B26,'Impact of the crisis'!$C$6:$AB$300,26,FALSE)</f>
        <v>8.8950119347022891</v>
      </c>
      <c r="N26" s="226">
        <f>VLOOKUP($B26,'Conditions of people affected'!$C$6:$R$300,16,FALSE)</f>
        <v>8</v>
      </c>
      <c r="O26" s="226">
        <f>VLOOKUP($B26,'Conditions of people affected'!$C$6:$R$300,9,FALSE)</f>
        <v>10</v>
      </c>
      <c r="P26" s="226">
        <f>VLOOKUP($B26,'Conditions of people affected'!$C$6:$R$300,15,FALSE)</f>
        <v>6.0000000000000009</v>
      </c>
      <c r="Q26" s="226">
        <f t="shared" si="3"/>
        <v>8.9182703509594035</v>
      </c>
      <c r="R26" s="226">
        <f>VLOOKUP($B26,'Complexity of the crisis'!$C$6:$AN$300,22,FALSE)</f>
        <v>6.7834155716666658</v>
      </c>
      <c r="S26" s="228">
        <f>VLOOKUP($B26,'Complexity of the crisis'!$C$6:$AN$300,38,FALSE)</f>
        <v>10</v>
      </c>
      <c r="T26" s="136" t="str">
        <f>VLOOKUP(B26,Lists!$C$3:$E$300,3,FALSE)</f>
        <v>Africa</v>
      </c>
      <c r="U26" s="144">
        <f>VLOOKUP(B26,'INFORM Severity - hidden'!$C$5:$V$300,20,FALSE)</f>
        <v>46261</v>
      </c>
    </row>
    <row r="27" spans="1:21" x14ac:dyDescent="0.35">
      <c r="A27" s="132" t="str">
        <f t="array" ref="A27">IFERROR(INDEX(Lists!$B$2:$B$200,SMALL(IF(Lists!$H$2:$H$200="Yes",ROW(Lists!$B$2:$B$200)),ROW(23:23))-1,1),"")</f>
        <v>International Displacement to Greece</v>
      </c>
      <c r="B27" s="133" t="str">
        <f>VLOOKUP(A27,Lists!$B$2:$G$200,2,FALSE)</f>
        <v>GRC002</v>
      </c>
      <c r="C27" s="133" t="str">
        <f>VLOOKUP(B27,'INFORM Severity - hidden'!$C$5:$D$200,2,FALSE)</f>
        <v>Greece</v>
      </c>
      <c r="D27" s="133" t="str">
        <f>VLOOKUP(A27,Lists!$B$2:$G$200,3,FALSE)</f>
        <v>GRC</v>
      </c>
      <c r="E27" s="133" t="str">
        <f>VLOOKUP(A27,Lists!$B$2:$G$200,5,FALSE)</f>
        <v>International Displacement</v>
      </c>
      <c r="F27" s="225">
        <f t="shared" si="0"/>
        <v>4.3</v>
      </c>
      <c r="G27" s="234">
        <f t="array" ref="G27">_xlfn.IFS(F27="x", "x", F27&lt;=2, 1, F27&lt;=4, 2, F27&lt;=6, 3, F27&lt;=8, 4, F27&lt;=10, 5)</f>
        <v>3</v>
      </c>
      <c r="H27" s="226" t="str">
        <f t="shared" si="1"/>
        <v>Medium</v>
      </c>
      <c r="I27" s="227" t="str">
        <f>INDEX(Trends!$D$3:$D$404,MATCH(B27,Trends!$C$3:$C$404,0))</f>
        <v>Stable</v>
      </c>
      <c r="J27" s="226" t="str">
        <f>VLOOKUP($B27,Reliability!$A$3:$I$300,9,FALSE)</f>
        <v>Very High</v>
      </c>
      <c r="K27" s="226">
        <f t="shared" si="2"/>
        <v>4.6791570792488395</v>
      </c>
      <c r="L27" s="226">
        <f>VLOOKUP($B27,'Impact of the crisis'!$C$6:$N$300,12,FALSE)</f>
        <v>1.8393177662472837</v>
      </c>
      <c r="M27" s="226">
        <f>VLOOKUP($B27,'Impact of the crisis'!$C$6:$AB$300,26,FALSE)</f>
        <v>5.7539769066958302</v>
      </c>
      <c r="N27" s="226">
        <f>VLOOKUP($B27,'Conditions of people affected'!$C$6:$R$300,16,FALSE)</f>
        <v>4.5823166777415203</v>
      </c>
      <c r="O27" s="226">
        <f>VLOOKUP($B27,'Conditions of people affected'!$C$6:$R$300,9,FALSE)</f>
        <v>3.1646333554830406</v>
      </c>
      <c r="P27" s="226">
        <f>VLOOKUP($B27,'Conditions of people affected'!$C$6:$R$300,15,FALSE)</f>
        <v>6.0000000000000009</v>
      </c>
      <c r="Q27" s="226">
        <f t="shared" si="3"/>
        <v>3.5576261143833876</v>
      </c>
      <c r="R27" s="226">
        <f>VLOOKUP($B27,'Complexity of the crisis'!$C$6:$AN$300,22,FALSE)</f>
        <v>3.6148159233429755</v>
      </c>
      <c r="S27" s="228">
        <f>VLOOKUP($B27,'Complexity of the crisis'!$C$6:$AN$300,38,FALSE)</f>
        <v>3.5</v>
      </c>
      <c r="T27" s="136" t="str">
        <f>VLOOKUP(B27,Lists!$C$3:$E$300,3,FALSE)</f>
        <v>Europe</v>
      </c>
      <c r="U27" s="144">
        <f>VLOOKUP(B27,'INFORM Severity - hidden'!$C$5:$V$300,20,FALSE)</f>
        <v>46265</v>
      </c>
    </row>
    <row r="28" spans="1:21" x14ac:dyDescent="0.35">
      <c r="A28" s="132" t="str">
        <f t="array" ref="A28">IFERROR(INDEX(Lists!$B$2:$B$200,SMALL(IF(Lists!$H$2:$H$200="Yes",ROW(Lists!$B$2:$B$200)),ROW(24:24))-1,1),"")</f>
        <v>Climatic Shocks and Violence in Guatemala</v>
      </c>
      <c r="B28" s="133" t="str">
        <f>VLOOKUP(A28,Lists!$B$2:$G$200,2,FALSE)</f>
        <v>GTM001</v>
      </c>
      <c r="C28" s="133" t="str">
        <f>VLOOKUP(B28,'INFORM Severity - hidden'!$C$5:$D$200,2,FALSE)</f>
        <v>Guatemala</v>
      </c>
      <c r="D28" s="133" t="str">
        <f>VLOOKUP(A28,Lists!$B$2:$G$200,3,FALSE)</f>
        <v>GTM</v>
      </c>
      <c r="E28" s="133" t="str">
        <f>VLOOKUP(A28,Lists!$B$2:$G$200,5,FALSE)</f>
        <v>Conflict/ Violence,Drought/drier conditions</v>
      </c>
      <c r="F28" s="225">
        <f t="shared" si="0"/>
        <v>7.4</v>
      </c>
      <c r="G28" s="234">
        <f t="array" ref="G28">_xlfn.IFS(F28="x", "x", F28&lt;=2, 1, F28&lt;=4, 2, F28&lt;=6, 3, F28&lt;=8, 4, F28&lt;=10, 5)</f>
        <v>4</v>
      </c>
      <c r="H28" s="226" t="str">
        <f t="shared" si="1"/>
        <v>High</v>
      </c>
      <c r="I28" s="227" t="str">
        <f>INDEX(Trends!$D$3:$D$404,MATCH(B28,Trends!$C$3:$C$404,0))</f>
        <v>Increasing</v>
      </c>
      <c r="J28" s="226" t="str">
        <f>VLOOKUP($B28,Reliability!$A$3:$I$300,9,FALSE)</f>
        <v>Very High</v>
      </c>
      <c r="K28" s="226">
        <f t="shared" si="2"/>
        <v>8.2682273502182646</v>
      </c>
      <c r="L28" s="226">
        <f>VLOOKUP($B28,'Impact of the crisis'!$C$6:$N$300,12,FALSE)</f>
        <v>8.8375287787475045</v>
      </c>
      <c r="M28" s="226">
        <f>VLOOKUP($B28,'Impact of the crisis'!$C$6:$AB$300,26,FALSE)</f>
        <v>7.932163936327397</v>
      </c>
      <c r="N28" s="226">
        <f>VLOOKUP($B28,'Conditions of people affected'!$C$6:$R$300,16,FALSE)</f>
        <v>7.3843869229015429</v>
      </c>
      <c r="O28" s="226">
        <f>VLOOKUP($B28,'Conditions of people affected'!$C$6:$R$300,9,FALSE)</f>
        <v>8.3405129762378696</v>
      </c>
      <c r="P28" s="226">
        <f>VLOOKUP($B28,'Conditions of people affected'!$C$6:$R$300,15,FALSE)</f>
        <v>6.4282608695652161</v>
      </c>
      <c r="Q28" s="226">
        <f t="shared" si="3"/>
        <v>6.6192645510087083</v>
      </c>
      <c r="R28" s="226">
        <f>VLOOKUP($B28,'Complexity of the crisis'!$C$6:$AN$300,22,FALSE)</f>
        <v>6.2032686874480261</v>
      </c>
      <c r="S28" s="228">
        <f>VLOOKUP($B28,'Complexity of the crisis'!$C$6:$AN$300,38,FALSE)</f>
        <v>7</v>
      </c>
      <c r="T28" s="136" t="str">
        <f>VLOOKUP(B28,Lists!$C$3:$E$300,3,FALSE)</f>
        <v>Americas</v>
      </c>
      <c r="U28" s="144">
        <f>VLOOKUP(B28,'INFORM Severity - hidden'!$C$5:$V$300,20,FALSE)</f>
        <v>46265</v>
      </c>
    </row>
    <row r="29" spans="1:21" x14ac:dyDescent="0.35">
      <c r="A29" s="132" t="str">
        <f t="array" ref="A29">IFERROR(INDEX(Lists!$B$2:$B$200,SMALL(IF(Lists!$H$2:$H$200="Yes",ROW(Lists!$B$2:$B$200)),ROW(25:25))-1,1),"")</f>
        <v>Climatic Shocks and Conflict and Violence in Honduras</v>
      </c>
      <c r="B29" s="133" t="str">
        <f>VLOOKUP(A29,Lists!$B$2:$G$200,2,FALSE)</f>
        <v>HND001</v>
      </c>
      <c r="C29" s="133" t="str">
        <f>VLOOKUP(B29,'INFORM Severity - hidden'!$C$5:$D$200,2,FALSE)</f>
        <v>Honduras</v>
      </c>
      <c r="D29" s="133" t="str">
        <f>VLOOKUP(A29,Lists!$B$2:$G$200,3,FALSE)</f>
        <v>HND</v>
      </c>
      <c r="E29" s="133" t="str">
        <f>VLOOKUP(A29,Lists!$B$2:$G$200,5,FALSE)</f>
        <v>Drought/drier conditions,Conflict/ Violence</v>
      </c>
      <c r="F29" s="225">
        <f t="shared" si="0"/>
        <v>6.8</v>
      </c>
      <c r="G29" s="234">
        <f t="array" ref="G29">_xlfn.IFS(F29="x", "x", F29&lt;=2, 1, F29&lt;=4, 2, F29&lt;=6, 3, F29&lt;=8, 4, F29&lt;=10, 5)</f>
        <v>4</v>
      </c>
      <c r="H29" s="226" t="str">
        <f t="shared" si="1"/>
        <v>High</v>
      </c>
      <c r="I29" s="227" t="str">
        <f>INDEX(Trends!$D$3:$D$404,MATCH(B29,Trends!$C$3:$C$404,0))</f>
        <v>Stable</v>
      </c>
      <c r="J29" s="226" t="str">
        <f>VLOOKUP($B29,Reliability!$A$3:$I$300,9,FALSE)</f>
        <v>High</v>
      </c>
      <c r="K29" s="226">
        <f t="shared" si="2"/>
        <v>7.6066855014597454</v>
      </c>
      <c r="L29" s="226">
        <f>VLOOKUP($B29,'Impact of the crisis'!$C$6:$N$300,12,FALSE)</f>
        <v>8.429741205760795</v>
      </c>
      <c r="M29" s="226">
        <f>VLOOKUP($B29,'Impact of the crisis'!$C$6:$AB$300,26,FALSE)</f>
        <v>7.1047794170183014</v>
      </c>
      <c r="N29" s="226">
        <f>VLOOKUP($B29,'Conditions of people affected'!$C$6:$R$300,16,FALSE)</f>
        <v>6.9391233431160222</v>
      </c>
      <c r="O29" s="226">
        <f>VLOOKUP($B29,'Conditions of people affected'!$C$6:$R$300,9,FALSE)</f>
        <v>7.5263948343801932</v>
      </c>
      <c r="P29" s="226">
        <f>VLOOKUP($B29,'Conditions of people affected'!$C$6:$R$300,15,FALSE)</f>
        <v>6.3518518518518512</v>
      </c>
      <c r="Q29" s="226">
        <f t="shared" si="3"/>
        <v>6.0108703769323846</v>
      </c>
      <c r="R29" s="226">
        <f>VLOOKUP($B29,'Complexity of the crisis'!$C$6:$AN$300,22,FALSE)</f>
        <v>5.4698556913717482</v>
      </c>
      <c r="S29" s="228">
        <f>VLOOKUP($B29,'Complexity of the crisis'!$C$6:$AN$300,38,FALSE)</f>
        <v>6.5</v>
      </c>
      <c r="T29" s="136" t="str">
        <f>VLOOKUP(B29,Lists!$C$3:$E$300,3,FALSE)</f>
        <v>Americas</v>
      </c>
      <c r="U29" s="144">
        <f>VLOOKUP(B29,'INFORM Severity - hidden'!$C$5:$V$300,20,FALSE)</f>
        <v>46265</v>
      </c>
    </row>
    <row r="30" spans="1:21" x14ac:dyDescent="0.35">
      <c r="A30" s="132" t="str">
        <f t="array" ref="A30">IFERROR(INDEX(Lists!$B$2:$B$200,SMALL(IF(Lists!$H$2:$H$200="Yes",ROW(Lists!$B$2:$B$200)),ROW(26:26))-1,1),"")</f>
        <v>Complex crisis in Haiti</v>
      </c>
      <c r="B30" s="133" t="str">
        <f>VLOOKUP(A30,Lists!$B$2:$G$200,2,FALSE)</f>
        <v>HTI001</v>
      </c>
      <c r="C30" s="133" t="str">
        <f>VLOOKUP(B30,'INFORM Severity - hidden'!$C$5:$D$200,2,FALSE)</f>
        <v>Haiti</v>
      </c>
      <c r="D30" s="133" t="str">
        <f>VLOOKUP(A30,Lists!$B$2:$G$200,3,FALSE)</f>
        <v>HTI</v>
      </c>
      <c r="E30" s="133" t="str">
        <f>VLOOKUP(A30,Lists!$B$2:$G$200,5,FALSE)</f>
        <v>Conflict/ Violence,Political/economic crisis,Floods,Drought/drier conditions,Cyclone</v>
      </c>
      <c r="F30" s="225">
        <f t="shared" si="0"/>
        <v>8.9</v>
      </c>
      <c r="G30" s="234">
        <f t="array" ref="G30">_xlfn.IFS(F30="x", "x", F30&lt;=2, 1, F30&lt;=4, 2, F30&lt;=6, 3, F30&lt;=8, 4, F30&lt;=10, 5)</f>
        <v>5</v>
      </c>
      <c r="H30" s="226" t="str">
        <f t="shared" si="1"/>
        <v>Very High</v>
      </c>
      <c r="I30" s="227" t="str">
        <f>INDEX(Trends!$D$3:$D$404,MATCH(B30,Trends!$C$3:$C$404,0))</f>
        <v>Increasing</v>
      </c>
      <c r="J30" s="226" t="str">
        <f>VLOOKUP($B30,Reliability!$A$3:$I$300,9,FALSE)</f>
        <v>Very High</v>
      </c>
      <c r="K30" s="226">
        <f t="shared" si="2"/>
        <v>9.1043457926954119</v>
      </c>
      <c r="L30" s="226">
        <f>VLOOKUP($B30,'Impact of the crisis'!$C$6:$N$300,12,FALSE)</f>
        <v>8.0495881868224863</v>
      </c>
      <c r="M30" s="226">
        <f>VLOOKUP($B30,'Impact of the crisis'!$C$6:$AB$300,26,FALSE)</f>
        <v>9.4864001055232556</v>
      </c>
      <c r="N30" s="226">
        <f>VLOOKUP($B30,'Conditions of people affected'!$C$6:$R$300,16,FALSE)</f>
        <v>9.3995566626820466</v>
      </c>
      <c r="O30" s="226">
        <f>VLOOKUP($B30,'Conditions of people affected'!$C$6:$R$300,9,FALSE)</f>
        <v>9.3570965186414057</v>
      </c>
      <c r="P30" s="226">
        <f>VLOOKUP($B30,'Conditions of people affected'!$C$6:$R$300,15,FALSE)</f>
        <v>9.4420168067226875</v>
      </c>
      <c r="Q30" s="226">
        <f t="shared" si="3"/>
        <v>8.0715508947694783</v>
      </c>
      <c r="R30" s="226">
        <f>VLOOKUP($B30,'Complexity of the crisis'!$C$6:$AN$300,22,FALSE)</f>
        <v>6.7347775964321022</v>
      </c>
      <c r="S30" s="228">
        <f>VLOOKUP($B30,'Complexity of the crisis'!$C$6:$AN$300,38,FALSE)</f>
        <v>9</v>
      </c>
      <c r="T30" s="136" t="str">
        <f>VLOOKUP(B30,Lists!$C$3:$E$300,3,FALSE)</f>
        <v>Americas</v>
      </c>
      <c r="U30" s="144">
        <f>VLOOKUP(B30,'INFORM Severity - hidden'!$C$5:$V$300,20,FALSE)</f>
        <v>46265</v>
      </c>
    </row>
    <row r="31" spans="1:21" x14ac:dyDescent="0.35">
      <c r="A31" s="132" t="str">
        <f t="array" ref="A31">IFERROR(INDEX(Lists!$B$2:$B$200,SMALL(IF(Lists!$H$2:$H$200="Yes",ROW(Lists!$B$2:$B$200)),ROW(27:27))-1,1),"")</f>
        <v>Conflict in Papua</v>
      </c>
      <c r="B31" s="133" t="str">
        <f>VLOOKUP(A31,Lists!$B$2:$G$200,2,FALSE)</f>
        <v>IDN002</v>
      </c>
      <c r="C31" s="133" t="str">
        <f>VLOOKUP(B31,'INFORM Severity - hidden'!$C$5:$D$200,2,FALSE)</f>
        <v>Indonesia</v>
      </c>
      <c r="D31" s="133" t="str">
        <f>VLOOKUP(A31,Lists!$B$2:$G$200,3,FALSE)</f>
        <v>IDN</v>
      </c>
      <c r="E31" s="133" t="str">
        <f>VLOOKUP(A31,Lists!$B$2:$G$200,5,FALSE)</f>
        <v>Conflict/ Violence</v>
      </c>
      <c r="F31" s="225">
        <f t="shared" si="0"/>
        <v>5.4</v>
      </c>
      <c r="G31" s="234">
        <f t="array" ref="G31">_xlfn.IFS(F31="x", "x", F31&lt;=2, 1, F31&lt;=4, 2, F31&lt;=6, 3, F31&lt;=8, 4, F31&lt;=10, 5)</f>
        <v>3</v>
      </c>
      <c r="H31" s="226" t="str">
        <f t="shared" si="1"/>
        <v>Medium</v>
      </c>
      <c r="I31" s="227" t="str">
        <f>INDEX(Trends!$D$3:$D$404,MATCH(B31,Trends!$C$3:$C$404,0))</f>
        <v>Increasing</v>
      </c>
      <c r="J31" s="226" t="str">
        <f>VLOOKUP($B31,Reliability!$A$3:$I$300,9,FALSE)</f>
        <v>Very High</v>
      </c>
      <c r="K31" s="226">
        <f t="shared" si="2"/>
        <v>6.2623585918242082</v>
      </c>
      <c r="L31" s="226">
        <f>VLOOKUP($B31,'Impact of the crisis'!$C$6:$N$300,12,FALSE)</f>
        <v>4.128735567051752</v>
      </c>
      <c r="M31" s="226">
        <f>VLOOKUP($B31,'Impact of the crisis'!$C$6:$AB$300,26,FALSE)</f>
        <v>7.0705337550825531</v>
      </c>
      <c r="N31" s="226">
        <f>VLOOKUP($B31,'Conditions of people affected'!$C$6:$R$300,16,FALSE)</f>
        <v>4.2612143876747446</v>
      </c>
      <c r="O31" s="226">
        <f>VLOOKUP($B31,'Conditions of people affected'!$C$6:$R$300,9,FALSE)</f>
        <v>3.6679018170585422</v>
      </c>
      <c r="P31" s="226">
        <f>VLOOKUP($B31,'Conditions of people affected'!$C$6:$R$300,15,FALSE)</f>
        <v>4.8545269582909478</v>
      </c>
      <c r="Q31" s="226">
        <f t="shared" si="3"/>
        <v>6.3771832669456296</v>
      </c>
      <c r="R31" s="226">
        <f>VLOOKUP($B31,'Complexity of the crisis'!$C$6:$AN$300,22,FALSE)</f>
        <v>4.9052447879145822</v>
      </c>
      <c r="S31" s="228">
        <f>VLOOKUP($B31,'Complexity of the crisis'!$C$6:$AN$300,38,FALSE)</f>
        <v>7.5</v>
      </c>
      <c r="T31" s="136" t="str">
        <f>VLOOKUP(B31,Lists!$C$3:$E$300,3,FALSE)</f>
        <v>Asia</v>
      </c>
      <c r="U31" s="144">
        <f>VLOOKUP(B31,'INFORM Severity - hidden'!$C$5:$V$300,20,FALSE)</f>
        <v>46265</v>
      </c>
    </row>
    <row r="32" spans="1:21" x14ac:dyDescent="0.35">
      <c r="A32" s="132" t="str">
        <f t="array" ref="A32">IFERROR(INDEX(Lists!$B$2:$B$200,SMALL(IF(Lists!$H$2:$H$200="Yes",ROW(Lists!$B$2:$B$200)),ROW(28:28))-1,1),"")</f>
        <v>Multiple crises in Indonesia</v>
      </c>
      <c r="B32" s="133" t="str">
        <f>VLOOKUP(A32,Lists!$B$2:$G$200,2,FALSE)</f>
        <v>IDN007</v>
      </c>
      <c r="C32" s="133" t="str">
        <f>VLOOKUP(B32,'INFORM Severity - hidden'!$C$5:$D$200,2,FALSE)</f>
        <v>Indonesia</v>
      </c>
      <c r="D32" s="133" t="str">
        <f>VLOOKUP(A32,Lists!$B$2:$G$200,3,FALSE)</f>
        <v>IDN</v>
      </c>
      <c r="E32" s="133" t="str">
        <f>VLOOKUP(A32,Lists!$B$2:$G$200,5,FALSE)</f>
        <v>Conflict/ Violence,Floods,Cyclone</v>
      </c>
      <c r="F32" s="225">
        <f t="shared" si="0"/>
        <v>5.3</v>
      </c>
      <c r="G32" s="234">
        <f t="array" ref="G32">_xlfn.IFS(F32="x", "x", F32&lt;=2, 1, F32&lt;=4, 2, F32&lt;=6, 3, F32&lt;=8, 4, F32&lt;=10, 5)</f>
        <v>3</v>
      </c>
      <c r="H32" s="226" t="str">
        <f t="shared" si="1"/>
        <v>Medium</v>
      </c>
      <c r="I32" s="227" t="str">
        <f>INDEX(Trends!$D$3:$D$404,MATCH(B32,Trends!$C$3:$C$404,0))</f>
        <v>Decreasing</v>
      </c>
      <c r="J32" s="226" t="str">
        <f>VLOOKUP($B32,Reliability!$A$3:$I$300,9,FALSE)</f>
        <v>Very High</v>
      </c>
      <c r="K32" s="226">
        <f t="shared" si="2"/>
        <v>5.761922825751129</v>
      </c>
      <c r="L32" s="226">
        <f>VLOOKUP($B32,'Impact of the crisis'!$C$6:$N$300,12,FALSE)</f>
        <v>4.3497499364651224</v>
      </c>
      <c r="M32" s="226">
        <f>VLOOKUP($B32,'Impact of the crisis'!$C$6:$AB$300,26,FALSE)</f>
        <v>6.3532171411033289</v>
      </c>
      <c r="N32" s="226">
        <f>VLOOKUP($B32,'Conditions of people affected'!$C$6:$R$300,16,FALSE)</f>
        <v>4.2523789576624269</v>
      </c>
      <c r="O32" s="226">
        <f>VLOOKUP($B32,'Conditions of people affected'!$C$6:$R$300,9,FALSE)</f>
        <v>3.7995969546707897</v>
      </c>
      <c r="P32" s="226">
        <f>VLOOKUP($B32,'Conditions of people affected'!$C$6:$R$300,15,FALSE)</f>
        <v>4.7051609606540641</v>
      </c>
      <c r="Q32" s="226">
        <f t="shared" si="3"/>
        <v>6.3771832669456296</v>
      </c>
      <c r="R32" s="226">
        <f>VLOOKUP($B32,'Complexity of the crisis'!$C$6:$AN$300,22,FALSE)</f>
        <v>4.9052447879145822</v>
      </c>
      <c r="S32" s="228">
        <f>VLOOKUP($B32,'Complexity of the crisis'!$C$6:$AN$300,38,FALSE)</f>
        <v>7.5</v>
      </c>
      <c r="T32" s="136" t="str">
        <f>VLOOKUP(B32,Lists!$C$3:$E$300,3,FALSE)</f>
        <v>Asia</v>
      </c>
      <c r="U32" s="144">
        <f>VLOOKUP(B32,'INFORM Severity - hidden'!$C$5:$V$300,20,FALSE)</f>
        <v>46265</v>
      </c>
    </row>
    <row r="33" spans="1:21" x14ac:dyDescent="0.35">
      <c r="A33" s="132" t="str">
        <f t="array" ref="A33">IFERROR(INDEX(Lists!$B$2:$B$200,SMALL(IF(Lists!$H$2:$H$200="Yes",ROW(Lists!$B$2:$B$200)),ROW(29:29))-1,1),"")</f>
        <v>Multiple crises in Iran</v>
      </c>
      <c r="B33" s="133" t="str">
        <f>VLOOKUP(A33,Lists!$B$2:$G$200,2,FALSE)</f>
        <v>IRN001</v>
      </c>
      <c r="C33" s="133" t="str">
        <f>VLOOKUP(B33,'INFORM Severity - hidden'!$C$5:$D$200,2,FALSE)</f>
        <v>Iran</v>
      </c>
      <c r="D33" s="133" t="str">
        <f>VLOOKUP(A33,Lists!$B$2:$G$200,3,FALSE)</f>
        <v>IRN</v>
      </c>
      <c r="E33" s="133" t="str">
        <f>VLOOKUP(A33,Lists!$B$2:$G$200,5,FALSE)</f>
        <v>Conflict/ Violence,International Displacement,Political/economic crisis</v>
      </c>
      <c r="F33" s="225">
        <f t="shared" si="0"/>
        <v>8.6</v>
      </c>
      <c r="G33" s="234">
        <f t="array" ref="G33">_xlfn.IFS(F33="x", "x", F33&lt;=2, 1, F33&lt;=4, 2, F33&lt;=6, 3, F33&lt;=8, 4, F33&lt;=10, 5)</f>
        <v>5</v>
      </c>
      <c r="H33" s="226" t="str">
        <f t="shared" si="1"/>
        <v>Very High</v>
      </c>
      <c r="I33" s="227" t="str">
        <f>INDEX(Trends!$D$3:$D$404,MATCH(B33,Trends!$C$3:$C$404,0))</f>
        <v>Increasing</v>
      </c>
      <c r="J33" s="226" t="str">
        <f>VLOOKUP($B33,Reliability!$A$3:$I$300,9,FALSE)</f>
        <v>High</v>
      </c>
      <c r="K33" s="226">
        <f t="shared" si="2"/>
        <v>8.7909290878822439</v>
      </c>
      <c r="L33" s="226">
        <f>VLOOKUP($B33,'Impact of the crisis'!$C$6:$N$300,12,FALSE)</f>
        <v>9.7450274041342944</v>
      </c>
      <c r="M33" s="226">
        <f>VLOOKUP($B33,'Impact of the crisis'!$C$6:$AB$300,26,FALSE)</f>
        <v>8.0873712125183186</v>
      </c>
      <c r="N33" s="226">
        <f>VLOOKUP($B33,'Conditions of people affected'!$C$6:$R$300,16,FALSE)</f>
        <v>8.5112195121951224</v>
      </c>
      <c r="O33" s="226">
        <f>VLOOKUP($B33,'Conditions of people affected'!$C$6:$R$300,9,FALSE)</f>
        <v>10</v>
      </c>
      <c r="P33" s="226">
        <f>VLOOKUP($B33,'Conditions of people affected'!$C$6:$R$300,15,FALSE)</f>
        <v>7.0224390243902439</v>
      </c>
      <c r="Q33" s="226">
        <f t="shared" si="3"/>
        <v>8.6380806219752664</v>
      </c>
      <c r="R33" s="226">
        <f>VLOOKUP($B33,'Complexity of the crisis'!$C$6:$AN$300,22,FALSE)</f>
        <v>7.315047786851852</v>
      </c>
      <c r="S33" s="228">
        <f>VLOOKUP($B33,'Complexity of the crisis'!$C$6:$AN$300,38,FALSE)</f>
        <v>9.5</v>
      </c>
      <c r="T33" s="136" t="str">
        <f>VLOOKUP(B33,Lists!$C$3:$E$300,3,FALSE)</f>
        <v>Middle east</v>
      </c>
      <c r="U33" s="144">
        <f>VLOOKUP(B33,'INFORM Severity - hidden'!$C$5:$V$300,20,FALSE)</f>
        <v>46265</v>
      </c>
    </row>
    <row r="34" spans="1:21" x14ac:dyDescent="0.35">
      <c r="A34" s="132" t="str">
        <f t="array" ref="A34">IFERROR(INDEX(Lists!$B$2:$B$200,SMALL(IF(Lists!$H$2:$H$200="Yes",ROW(Lists!$B$2:$B$200)),ROW(30:30))-1,1),"")</f>
        <v>Internal displacement in Iraq</v>
      </c>
      <c r="B34" s="133" t="str">
        <f>VLOOKUP(A34,Lists!$B$2:$G$200,2,FALSE)</f>
        <v>IRQ002</v>
      </c>
      <c r="C34" s="133" t="str">
        <f>VLOOKUP(B34,'INFORM Severity - hidden'!$C$5:$D$200,2,FALSE)</f>
        <v>Iraq</v>
      </c>
      <c r="D34" s="133" t="str">
        <f>VLOOKUP(A34,Lists!$B$2:$G$200,3,FALSE)</f>
        <v>IRQ</v>
      </c>
      <c r="E34" s="133" t="str">
        <f>VLOOKUP(A34,Lists!$B$2:$G$200,5,FALSE)</f>
        <v>Conflict/ Violence,Political/economic crisis</v>
      </c>
      <c r="F34" s="225">
        <f t="shared" si="0"/>
        <v>6.9</v>
      </c>
      <c r="G34" s="234">
        <f t="array" ref="G34">_xlfn.IFS(F34="x", "x", F34&lt;=2, 1, F34&lt;=4, 2, F34&lt;=6, 3, F34&lt;=8, 4, F34&lt;=10, 5)</f>
        <v>4</v>
      </c>
      <c r="H34" s="226" t="str">
        <f t="shared" si="1"/>
        <v>High</v>
      </c>
      <c r="I34" s="227" t="str">
        <f>INDEX(Trends!$D$3:$D$404,MATCH(B34,Trends!$C$3:$C$404,0))</f>
        <v>Increasing</v>
      </c>
      <c r="J34" s="226" t="str">
        <f>VLOOKUP($B34,Reliability!$A$3:$I$300,9,FALSE)</f>
        <v>High</v>
      </c>
      <c r="K34" s="226">
        <f t="shared" si="2"/>
        <v>7.673001150331439</v>
      </c>
      <c r="L34" s="226">
        <f>VLOOKUP($B34,'Impact of the crisis'!$C$6:$N$300,12,FALSE)</f>
        <v>9.3929737879870672</v>
      </c>
      <c r="M34" s="226">
        <f>VLOOKUP($B34,'Impact of the crisis'!$C$6:$AB$300,26,FALSE)</f>
        <v>6.2475910924902189</v>
      </c>
      <c r="N34" s="226">
        <f>VLOOKUP($B34,'Conditions of people affected'!$C$6:$R$300,16,FALSE)</f>
        <v>7.3614797050562339</v>
      </c>
      <c r="O34" s="226">
        <f>VLOOKUP($B34,'Conditions of people affected'!$C$6:$R$300,9,FALSE)</f>
        <v>8.1638991072173361</v>
      </c>
      <c r="P34" s="226">
        <f>VLOOKUP($B34,'Conditions of people affected'!$C$6:$R$300,15,FALSE)</f>
        <v>6.5590603028951318</v>
      </c>
      <c r="Q34" s="226">
        <f t="shared" si="3"/>
        <v>5.6476282416971966</v>
      </c>
      <c r="R34" s="226">
        <f>VLOOKUP($B34,'Complexity of the crisis'!$C$6:$AN$300,22,FALSE)</f>
        <v>4.6376941091975299</v>
      </c>
      <c r="S34" s="228">
        <f>VLOOKUP($B34,'Complexity of the crisis'!$C$6:$AN$300,38,FALSE)</f>
        <v>6.5</v>
      </c>
      <c r="T34" s="136" t="str">
        <f>VLOOKUP(B34,Lists!$C$3:$E$300,3,FALSE)</f>
        <v>Middle east</v>
      </c>
      <c r="U34" s="144">
        <f>VLOOKUP(B34,'INFORM Severity - hidden'!$C$5:$V$300,20,FALSE)</f>
        <v>46265</v>
      </c>
    </row>
    <row r="35" spans="1:21" x14ac:dyDescent="0.35">
      <c r="A35" s="132" t="str">
        <f t="array" ref="A35">IFERROR(INDEX(Lists!$B$2:$B$200,SMALL(IF(Lists!$H$2:$H$200="Yes",ROW(Lists!$B$2:$B$200)),ROW(31:31))-1,1),"")</f>
        <v>International Displacement to Italy</v>
      </c>
      <c r="B35" s="133" t="str">
        <f>VLOOKUP(A35,Lists!$B$2:$G$200,2,FALSE)</f>
        <v>ITA002</v>
      </c>
      <c r="C35" s="133" t="str">
        <f>VLOOKUP(B35,'INFORM Severity - hidden'!$C$5:$D$200,2,FALSE)</f>
        <v>Italy</v>
      </c>
      <c r="D35" s="133" t="str">
        <f>VLOOKUP(A35,Lists!$B$2:$G$200,3,FALSE)</f>
        <v>ITA</v>
      </c>
      <c r="E35" s="133" t="str">
        <f>VLOOKUP(A35,Lists!$B$2:$G$200,5,FALSE)</f>
        <v>International Displacement</v>
      </c>
      <c r="F35" s="225">
        <f t="shared" si="0"/>
        <v>3.9</v>
      </c>
      <c r="G35" s="234">
        <f t="array" ref="G35">_xlfn.IFS(F35="x", "x", F35&lt;=2, 1, F35&lt;=4, 2, F35&lt;=6, 3, F35&lt;=8, 4, F35&lt;=10, 5)</f>
        <v>2</v>
      </c>
      <c r="H35" s="226" t="str">
        <f t="shared" si="1"/>
        <v>Low</v>
      </c>
      <c r="I35" s="227" t="str">
        <f>INDEX(Trends!$D$3:$D$404,MATCH(B35,Trends!$C$3:$C$404,0))</f>
        <v>Increasing</v>
      </c>
      <c r="J35" s="226" t="str">
        <f>VLOOKUP($B35,Reliability!$A$3:$I$300,9,FALSE)</f>
        <v>Very High</v>
      </c>
      <c r="K35" s="226">
        <f t="shared" si="2"/>
        <v>5.5324009053693066</v>
      </c>
      <c r="L35" s="226">
        <f>VLOOKUP($B35,'Impact of the crisis'!$C$6:$N$300,12,FALSE)</f>
        <v>4.8242454112268467</v>
      </c>
      <c r="M35" s="226">
        <f>VLOOKUP($B35,'Impact of the crisis'!$C$6:$AB$300,26,FALSE)</f>
        <v>5.8559793272515801</v>
      </c>
      <c r="N35" s="226">
        <f>VLOOKUP($B35,'Conditions of people affected'!$C$6:$R$300,16,FALSE)</f>
        <v>3.1208828968430695</v>
      </c>
      <c r="O35" s="226">
        <f>VLOOKUP($B35,'Conditions of people affected'!$C$6:$R$300,9,FALSE)</f>
        <v>3.5481932974230599</v>
      </c>
      <c r="P35" s="226">
        <f>VLOOKUP($B35,'Conditions of people affected'!$C$6:$R$300,15,FALSE)</f>
        <v>2.6935724962630792</v>
      </c>
      <c r="Q35" s="226">
        <f t="shared" si="3"/>
        <v>3.4674655653369029</v>
      </c>
      <c r="R35" s="226">
        <f>VLOOKUP($B35,'Complexity of the crisis'!$C$6:$AN$300,22,FALSE)</f>
        <v>3.4347920590687018</v>
      </c>
      <c r="S35" s="228">
        <f>VLOOKUP($B35,'Complexity of the crisis'!$C$6:$AN$300,38,FALSE)</f>
        <v>3.5</v>
      </c>
      <c r="T35" s="136" t="str">
        <f>VLOOKUP(B35,Lists!$C$3:$E$300,3,FALSE)</f>
        <v>Europe</v>
      </c>
      <c r="U35" s="144">
        <f>VLOOKUP(B35,'INFORM Severity - hidden'!$C$5:$V$300,20,FALSE)</f>
        <v>46265</v>
      </c>
    </row>
    <row r="36" spans="1:21" x14ac:dyDescent="0.35">
      <c r="A36" s="132" t="str">
        <f t="array" ref="A36">IFERROR(INDEX(Lists!$B$2:$B$200,SMALL(IF(Lists!$H$2:$H$200="Yes",ROW(Lists!$B$2:$B$200)),ROW(32:32))-1,1),"")</f>
        <v>International displacement from Syria to Jordan</v>
      </c>
      <c r="B36" s="133" t="str">
        <f>VLOOKUP(A36,Lists!$B$2:$G$200,2,FALSE)</f>
        <v>JOR002</v>
      </c>
      <c r="C36" s="133" t="str">
        <f>VLOOKUP(B36,'INFORM Severity - hidden'!$C$5:$D$200,2,FALSE)</f>
        <v>Jordan</v>
      </c>
      <c r="D36" s="133" t="str">
        <f>VLOOKUP(A36,Lists!$B$2:$G$200,3,FALSE)</f>
        <v>JOR</v>
      </c>
      <c r="E36" s="133" t="str">
        <f>VLOOKUP(A36,Lists!$B$2:$G$200,5,FALSE)</f>
        <v>International Displacement</v>
      </c>
      <c r="F36" s="225">
        <f t="shared" si="0"/>
        <v>5.7</v>
      </c>
      <c r="G36" s="234">
        <f t="array" ref="G36">_xlfn.IFS(F36="x", "x", F36&lt;=2, 1, F36&lt;=4, 2, F36&lt;=6, 3, F36&lt;=8, 4, F36&lt;=10, 5)</f>
        <v>3</v>
      </c>
      <c r="H36" s="226" t="str">
        <f t="shared" si="1"/>
        <v>Medium</v>
      </c>
      <c r="I36" s="227" t="str">
        <f>INDEX(Trends!$D$3:$D$404,MATCH(B36,Trends!$C$3:$C$404,0))</f>
        <v>Decreasing</v>
      </c>
      <c r="J36" s="226" t="str">
        <f>VLOOKUP($B36,Reliability!$A$3:$I$300,9,FALSE)</f>
        <v>High</v>
      </c>
      <c r="K36" s="226">
        <f t="shared" si="2"/>
        <v>5.832953416730474</v>
      </c>
      <c r="L36" s="226">
        <f>VLOOKUP($B36,'Impact of the crisis'!$C$6:$N$300,12,FALSE)</f>
        <v>6.2122791477217145</v>
      </c>
      <c r="M36" s="226">
        <f>VLOOKUP($B36,'Impact of the crisis'!$C$6:$AB$300,26,FALSE)</f>
        <v>5.6324142586944967</v>
      </c>
      <c r="N36" s="226">
        <f>VLOOKUP($B36,'Conditions of people affected'!$C$6:$R$300,16,FALSE)</f>
        <v>6.6971214226190785</v>
      </c>
      <c r="O36" s="226">
        <f>VLOOKUP($B36,'Conditions of people affected'!$C$6:$R$300,9,FALSE)</f>
        <v>7.394242845238157</v>
      </c>
      <c r="P36" s="226">
        <f>VLOOKUP($B36,'Conditions of people affected'!$C$6:$R$300,15,FALSE)</f>
        <v>6.0000000000000009</v>
      </c>
      <c r="Q36" s="226">
        <f t="shared" si="3"/>
        <v>3.9736692974259418</v>
      </c>
      <c r="R36" s="226">
        <f>VLOOKUP($B36,'Complexity of the crisis'!$C$6:$AN$300,22,FALSE)</f>
        <v>4.417860296604939</v>
      </c>
      <c r="S36" s="228">
        <f>VLOOKUP($B36,'Complexity of the crisis'!$C$6:$AN$300,38,FALSE)</f>
        <v>3.5</v>
      </c>
      <c r="T36" s="136" t="str">
        <f>VLOOKUP(B36,Lists!$C$3:$E$300,3,FALSE)</f>
        <v>Middle east</v>
      </c>
      <c r="U36" s="144">
        <f>VLOOKUP(B36,'INFORM Severity - hidden'!$C$5:$V$300,20,FALSE)</f>
        <v>46265</v>
      </c>
    </row>
    <row r="37" spans="1:21" x14ac:dyDescent="0.35">
      <c r="A37" s="132" t="str">
        <f t="array" ref="A37">IFERROR(INDEX(Lists!$B$2:$B$200,SMALL(IF(Lists!$H$2:$H$200="Yes",ROW(Lists!$B$2:$B$200)),ROW(33:33))-1,1),"")</f>
        <v>Multiple crises in Kenya</v>
      </c>
      <c r="B37" s="133" t="str">
        <f>VLOOKUP(A37,Lists!$B$2:$G$200,2,FALSE)</f>
        <v>KEN001</v>
      </c>
      <c r="C37" s="133" t="str">
        <f>VLOOKUP(B37,'INFORM Severity - hidden'!$C$5:$D$200,2,FALSE)</f>
        <v>Kenya</v>
      </c>
      <c r="D37" s="133" t="str">
        <f>VLOOKUP(A37,Lists!$B$2:$G$200,3,FALSE)</f>
        <v>KEN</v>
      </c>
      <c r="E37" s="133" t="str">
        <f>VLOOKUP(A37,Lists!$B$2:$G$200,5,FALSE)</f>
        <v>Drought/drier conditions,International Displacement</v>
      </c>
      <c r="F37" s="225">
        <f t="shared" ref="F37:F73" si="4">IF(OR(N37="x",K37="x"),"x",ROUND((10-GEOMEAN(((10-K37)/10*9+1),((10-N37)/10*9+1),((10-N37)/10*9+1)))/9*7+Q37*0.3,1))</f>
        <v>7.1</v>
      </c>
      <c r="G37" s="234">
        <f t="array" ref="G37">_xlfn.IFS(F37="x", "x", F37&lt;=2, 1, F37&lt;=4, 2, F37&lt;=6, 3, F37&lt;=8, 4, F37&lt;=10, 5)</f>
        <v>4</v>
      </c>
      <c r="H37" s="226" t="str">
        <f t="shared" ref="H37:H68" si="5">IF(N37="x","x",IF(K37="x","x",(IF(G37=5,"Very High",IF(G37=4,"High",IF(G37=3,"Medium",IF(G37=2,"Low","Very Low")))))))</f>
        <v>High</v>
      </c>
      <c r="I37" s="227" t="str">
        <f>INDEX(Trends!$D$3:$D$404,MATCH(B37,Trends!$C$3:$C$404,0))</f>
        <v>Increasing</v>
      </c>
      <c r="J37" s="226" t="str">
        <f>VLOOKUP($B37,Reliability!$A$3:$I$300,9,FALSE)</f>
        <v>Medium</v>
      </c>
      <c r="K37" s="226">
        <f t="shared" ref="K37:K68" si="6">IF(OR(M37="x",L37="x"),"x",(10-GEOMEAN(((10-L37)/10*9+1),((10-M37)/10*9+1),((10-M37)/10*9+1)))/9*10)</f>
        <v>7.2927973939978816</v>
      </c>
      <c r="L37" s="226">
        <f>VLOOKUP($B37,'Impact of the crisis'!$C$6:$N$300,12,FALSE)</f>
        <v>7.8133764274920514</v>
      </c>
      <c r="M37" s="226">
        <f>VLOOKUP($B37,'Impact of the crisis'!$C$6:$AB$300,26,FALSE)</f>
        <v>7.0024572458918346</v>
      </c>
      <c r="N37" s="226">
        <f>VLOOKUP($B37,'Conditions of people affected'!$C$6:$R$300,16,FALSE)</f>
        <v>8.1504472786454407</v>
      </c>
      <c r="O37" s="226">
        <f>VLOOKUP($B37,'Conditions of people affected'!$C$6:$R$300,9,FALSE)</f>
        <v>8.7156211409400406</v>
      </c>
      <c r="P37" s="226">
        <f>VLOOKUP($B37,'Conditions of people affected'!$C$6:$R$300,15,FALSE)</f>
        <v>7.58527341635084</v>
      </c>
      <c r="Q37" s="226">
        <f t="shared" ref="Q37:Q68" si="7">IF(OR(S37="x",R37="x"),R37,(10-GEOMEAN(((10-R37)/10*9+1),((10-S37)/10*9+1)))/9*10)</f>
        <v>5.358360510871881</v>
      </c>
      <c r="R37" s="226">
        <f>VLOOKUP($B37,'Complexity of the crisis'!$C$6:$AN$300,22,FALSE)</f>
        <v>5.6957064708024694</v>
      </c>
      <c r="S37" s="228">
        <f>VLOOKUP($B37,'Complexity of the crisis'!$C$6:$AN$300,38,FALSE)</f>
        <v>5</v>
      </c>
      <c r="T37" s="136" t="str">
        <f>VLOOKUP(B37,Lists!$C$3:$E$300,3,FALSE)</f>
        <v>Africa</v>
      </c>
      <c r="U37" s="144">
        <f>VLOOKUP(B37,'INFORM Severity - hidden'!$C$5:$V$300,20,FALSE)</f>
        <v>46265</v>
      </c>
    </row>
    <row r="38" spans="1:21" x14ac:dyDescent="0.35">
      <c r="A38" s="132" t="str">
        <f t="array" ref="A38">IFERROR(INDEX(Lists!$B$2:$B$200,SMALL(IF(Lists!$H$2:$H$200="Yes",ROW(Lists!$B$2:$B$200)),ROW(34:34))-1,1),"")</f>
        <v>Complex crisis in Lebanon</v>
      </c>
      <c r="B38" s="133" t="str">
        <f>VLOOKUP(A38,Lists!$B$2:$G$200,2,FALSE)</f>
        <v>LBN006</v>
      </c>
      <c r="C38" s="133" t="str">
        <f>VLOOKUP(B38,'INFORM Severity - hidden'!$C$5:$D$200,2,FALSE)</f>
        <v>Lebanon</v>
      </c>
      <c r="D38" s="133" t="str">
        <f>VLOOKUP(A38,Lists!$B$2:$G$200,3,FALSE)</f>
        <v>LBN</v>
      </c>
      <c r="E38" s="133" t="str">
        <f>VLOOKUP(A38,Lists!$B$2:$G$200,5,FALSE)</f>
        <v>Conflict/ Violence,Political/economic crisis</v>
      </c>
      <c r="F38" s="225">
        <f t="shared" si="4"/>
        <v>8.1</v>
      </c>
      <c r="G38" s="234">
        <f t="array" ref="G38">_xlfn.IFS(F38="x", "x", F38&lt;=2, 1, F38&lt;=4, 2, F38&lt;=6, 3, F38&lt;=8, 4, F38&lt;=10, 5)</f>
        <v>5</v>
      </c>
      <c r="H38" s="226" t="str">
        <f t="shared" si="5"/>
        <v>Very High</v>
      </c>
      <c r="I38" s="227" t="str">
        <f>INDEX(Trends!$D$3:$D$404,MATCH(B38,Trends!$C$3:$C$404,0))</f>
        <v>Increasing</v>
      </c>
      <c r="J38" s="226" t="str">
        <f>VLOOKUP($B38,Reliability!$A$3:$I$300,9,FALSE)</f>
        <v>Very High</v>
      </c>
      <c r="K38" s="226">
        <f t="shared" si="6"/>
        <v>8.7512375841642047</v>
      </c>
      <c r="L38" s="226">
        <f>VLOOKUP($B38,'Impact of the crisis'!$C$6:$N$300,12,FALSE)</f>
        <v>7.0651708106536182</v>
      </c>
      <c r="M38" s="226">
        <f>VLOOKUP($B38,'Impact of the crisis'!$C$6:$AB$300,26,FALSE)</f>
        <v>9.3088265707189475</v>
      </c>
      <c r="N38" s="226">
        <f>VLOOKUP($B38,'Conditions of people affected'!$C$6:$R$300,16,FALSE)</f>
        <v>7.4280212789744384</v>
      </c>
      <c r="O38" s="226">
        <f>VLOOKUP($B38,'Conditions of people affected'!$C$6:$R$300,9,FALSE)</f>
        <v>8.5843444447413297</v>
      </c>
      <c r="P38" s="226">
        <f>VLOOKUP($B38,'Conditions of people affected'!$C$6:$R$300,15,FALSE)</f>
        <v>6.2716981132075471</v>
      </c>
      <c r="Q38" s="226">
        <f t="shared" si="7"/>
        <v>8.3299067700475007</v>
      </c>
      <c r="R38" s="226">
        <f>VLOOKUP($B38,'Complexity of the crisis'!$C$6:$AN$300,22,FALSE)</f>
        <v>6.3100160572656199</v>
      </c>
      <c r="S38" s="228">
        <f>VLOOKUP($B38,'Complexity of the crisis'!$C$6:$AN$300,38,FALSE)</f>
        <v>9.5</v>
      </c>
      <c r="T38" s="136" t="str">
        <f>VLOOKUP(B38,Lists!$C$3:$E$300,3,FALSE)</f>
        <v>Middle east</v>
      </c>
      <c r="U38" s="144">
        <f>VLOOKUP(B38,'INFORM Severity - hidden'!$C$5:$V$300,20,FALSE)</f>
        <v>46265</v>
      </c>
    </row>
    <row r="39" spans="1:21" x14ac:dyDescent="0.35">
      <c r="A39" s="132" t="str">
        <f t="array" ref="A39">IFERROR(INDEX(Lists!$B$2:$B$200,SMALL(IF(Lists!$H$2:$H$200="Yes",ROW(Lists!$B$2:$B$200)),ROW(35:35))-1,1),"")</f>
        <v>Multiple crises in Libya</v>
      </c>
      <c r="B39" s="133" t="str">
        <f>VLOOKUP(A39,Lists!$B$2:$G$200,2,FALSE)</f>
        <v>LBY005</v>
      </c>
      <c r="C39" s="133" t="str">
        <f>VLOOKUP(B39,'INFORM Severity - hidden'!$C$5:$D$200,2,FALSE)</f>
        <v>Libya</v>
      </c>
      <c r="D39" s="133" t="str">
        <f>VLOOKUP(A39,Lists!$B$2:$G$200,3,FALSE)</f>
        <v>LBY</v>
      </c>
      <c r="E39" s="133" t="str">
        <f>VLOOKUP(A39,Lists!$B$2:$G$200,5,FALSE)</f>
        <v>International Displacement</v>
      </c>
      <c r="F39" s="225">
        <f t="shared" si="4"/>
        <v>7.2</v>
      </c>
      <c r="G39" s="234">
        <f t="array" ref="G39">_xlfn.IFS(F39="x", "x", F39&lt;=2, 1, F39&lt;=4, 2, F39&lt;=6, 3, F39&lt;=8, 4, F39&lt;=10, 5)</f>
        <v>4</v>
      </c>
      <c r="H39" s="226" t="str">
        <f t="shared" si="5"/>
        <v>High</v>
      </c>
      <c r="I39" s="227" t="str">
        <f>INDEX(Trends!$D$3:$D$404,MATCH(B39,Trends!$C$3:$C$404,0))</f>
        <v>Decreasing</v>
      </c>
      <c r="J39" s="226" t="str">
        <f>VLOOKUP($B39,Reliability!$A$3:$I$300,9,FALSE)</f>
        <v>Very High</v>
      </c>
      <c r="K39" s="226">
        <f t="shared" si="6"/>
        <v>8.0506881569634512</v>
      </c>
      <c r="L39" s="226">
        <f>VLOOKUP($B39,'Impact of the crisis'!$C$6:$N$300,12,FALSE)</f>
        <v>9.2294629097810272</v>
      </c>
      <c r="M39" s="226">
        <f>VLOOKUP($B39,'Impact of the crisis'!$C$6:$AB$300,26,FALSE)</f>
        <v>7.2080714795106697</v>
      </c>
      <c r="N39" s="226">
        <f>VLOOKUP($B39,'Conditions of people affected'!$C$6:$R$300,16,FALSE)</f>
        <v>7.5097511239752386</v>
      </c>
      <c r="O39" s="226">
        <f>VLOOKUP($B39,'Conditions of people affected'!$C$6:$R$300,9,FALSE)</f>
        <v>7.0195022479504781</v>
      </c>
      <c r="P39" s="226">
        <f>VLOOKUP($B39,'Conditions of people affected'!$C$6:$R$300,15,FALSE)</f>
        <v>8</v>
      </c>
      <c r="Q39" s="226">
        <f t="shared" si="7"/>
        <v>6.0328971364630686</v>
      </c>
      <c r="R39" s="226">
        <f>VLOOKUP($B39,'Complexity of the crisis'!$C$6:$AN$300,22,FALSE)</f>
        <v>6.5151840903032694</v>
      </c>
      <c r="S39" s="228">
        <f>VLOOKUP($B39,'Complexity of the crisis'!$C$6:$AN$300,38,FALSE)</f>
        <v>5.5</v>
      </c>
      <c r="T39" s="136" t="str">
        <f>VLOOKUP(B39,Lists!$C$3:$E$300,3,FALSE)</f>
        <v>Africa</v>
      </c>
      <c r="U39" s="144">
        <f>VLOOKUP(B39,'INFORM Severity - hidden'!$C$5:$V$300,20,FALSE)</f>
        <v>46265</v>
      </c>
    </row>
    <row r="40" spans="1:21" x14ac:dyDescent="0.35">
      <c r="A40" s="132" t="str">
        <f t="array" ref="A40">IFERROR(INDEX(Lists!$B$2:$B$200,SMALL(IF(Lists!$H$2:$H$200="Yes",ROW(Lists!$B$2:$B$200)),ROW(36:36))-1,1),"")</f>
        <v>Drought in Lesotho</v>
      </c>
      <c r="B40" s="133" t="str">
        <f>VLOOKUP(A40,Lists!$B$2:$G$200,2,FALSE)</f>
        <v>LSO004</v>
      </c>
      <c r="C40" s="133" t="str">
        <f>VLOOKUP(B40,'INFORM Severity - hidden'!$C$5:$D$200,2,FALSE)</f>
        <v>Lesotho</v>
      </c>
      <c r="D40" s="133" t="str">
        <f>VLOOKUP(A40,Lists!$B$2:$G$200,3,FALSE)</f>
        <v>LSO</v>
      </c>
      <c r="E40" s="133" t="str">
        <f>VLOOKUP(A40,Lists!$B$2:$G$200,5,FALSE)</f>
        <v>Drought/drier conditions</v>
      </c>
      <c r="F40" s="225">
        <f t="shared" si="4"/>
        <v>4.7</v>
      </c>
      <c r="G40" s="234">
        <f t="array" ref="G40">_xlfn.IFS(F40="x", "x", F40&lt;=2, 1, F40&lt;=4, 2, F40&lt;=6, 3, F40&lt;=8, 4, F40&lt;=10, 5)</f>
        <v>3</v>
      </c>
      <c r="H40" s="226" t="str">
        <f t="shared" si="5"/>
        <v>Medium</v>
      </c>
      <c r="I40" s="227" t="str">
        <f>INDEX(Trends!$D$3:$D$404,MATCH(B40,Trends!$C$3:$C$404,0))</f>
        <v>Decreasing</v>
      </c>
      <c r="J40" s="226" t="str">
        <f>VLOOKUP($B40,Reliability!$A$3:$I$300,9,FALSE)</f>
        <v>High</v>
      </c>
      <c r="K40" s="226">
        <f t="shared" si="6"/>
        <v>5.4120476480174027</v>
      </c>
      <c r="L40" s="226">
        <f>VLOOKUP($B40,'Impact of the crisis'!$C$6:$N$300,12,FALSE)</f>
        <v>5.946834138979006</v>
      </c>
      <c r="M40" s="226">
        <f>VLOOKUP($B40,'Impact of the crisis'!$C$6:$AB$300,26,FALSE)</f>
        <v>5.1242321693106891</v>
      </c>
      <c r="N40" s="226">
        <f>VLOOKUP($B40,'Conditions of people affected'!$C$6:$R$300,16,FALSE)</f>
        <v>5.2820264290169039</v>
      </c>
      <c r="O40" s="226">
        <f>VLOOKUP($B40,'Conditions of people affected'!$C$6:$R$300,9,FALSE)</f>
        <v>4.5640528580338078</v>
      </c>
      <c r="P40" s="226">
        <f>VLOOKUP($B40,'Conditions of people affected'!$C$6:$R$300,15,FALSE)</f>
        <v>6.0000000000000009</v>
      </c>
      <c r="Q40" s="226">
        <f t="shared" si="7"/>
        <v>3.2343414908880725</v>
      </c>
      <c r="R40" s="226">
        <f>VLOOKUP($B40,'Complexity of the crisis'!$C$6:$AN$300,22,FALSE)</f>
        <v>4.3014587104938267</v>
      </c>
      <c r="S40" s="228">
        <f>VLOOKUP($B40,'Complexity of the crisis'!$C$6:$AN$300,38,FALSE)</f>
        <v>2</v>
      </c>
      <c r="T40" s="136" t="str">
        <f>VLOOKUP(B40,Lists!$C$3:$E$300,3,FALSE)</f>
        <v>Africa</v>
      </c>
      <c r="U40" s="144">
        <f>VLOOKUP(B40,'INFORM Severity - hidden'!$C$5:$V$300,20,FALSE)</f>
        <v>46258</v>
      </c>
    </row>
    <row r="41" spans="1:21" x14ac:dyDescent="0.35">
      <c r="A41" s="132" t="str">
        <f t="array" ref="A41">IFERROR(INDEX(Lists!$B$2:$B$200,SMALL(IF(Lists!$H$2:$H$200="Yes",ROW(Lists!$B$2:$B$200)),ROW(37:37))-1,1),"")</f>
        <v>International displacement to Morocco</v>
      </c>
      <c r="B41" s="133" t="str">
        <f>VLOOKUP(A41,Lists!$B$2:$G$200,2,FALSE)</f>
        <v>MAR002</v>
      </c>
      <c r="C41" s="133" t="str">
        <f>VLOOKUP(B41,'INFORM Severity - hidden'!$C$5:$D$200,2,FALSE)</f>
        <v>Morocco</v>
      </c>
      <c r="D41" s="133" t="str">
        <f>VLOOKUP(A41,Lists!$B$2:$G$200,3,FALSE)</f>
        <v>MAR</v>
      </c>
      <c r="E41" s="133" t="str">
        <f>VLOOKUP(A41,Lists!$B$2:$G$200,5,FALSE)</f>
        <v>International Displacement</v>
      </c>
      <c r="F41" s="225">
        <f t="shared" si="4"/>
        <v>3.5</v>
      </c>
      <c r="G41" s="234">
        <f t="array" ref="G41">_xlfn.IFS(F41="x", "x", F41&lt;=2, 1, F41&lt;=4, 2, F41&lt;=6, 3, F41&lt;=8, 4, F41&lt;=10, 5)</f>
        <v>2</v>
      </c>
      <c r="H41" s="226" t="str">
        <f t="shared" si="5"/>
        <v>Low</v>
      </c>
      <c r="I41" s="227" t="str">
        <f>INDEX(Trends!$D$3:$D$404,MATCH(B41,Trends!$C$3:$C$404,0))</f>
        <v>Increasing</v>
      </c>
      <c r="J41" s="226" t="str">
        <f>VLOOKUP($B41,Reliability!$A$3:$I$300,9,FALSE)</f>
        <v>High</v>
      </c>
      <c r="K41" s="226">
        <f t="shared" si="6"/>
        <v>4.1587943950690116</v>
      </c>
      <c r="L41" s="226">
        <f>VLOOKUP($B41,'Impact of the crisis'!$C$6:$N$300,12,FALSE)</f>
        <v>1.8676021509954013</v>
      </c>
      <c r="M41" s="226">
        <f>VLOOKUP($B41,'Impact of the crisis'!$C$6:$AB$300,26,FALSE)</f>
        <v>5.081686222743774</v>
      </c>
      <c r="N41" s="226">
        <f>VLOOKUP($B41,'Conditions of people affected'!$C$6:$R$300,16,FALSE)</f>
        <v>2.0257053566623648</v>
      </c>
      <c r="O41" s="226">
        <f>VLOOKUP($B41,'Conditions of people affected'!$C$6:$R$300,9,FALSE)</f>
        <v>1.5904041823988759</v>
      </c>
      <c r="P41" s="226">
        <f>VLOOKUP($B41,'Conditions of people affected'!$C$6:$R$300,15,FALSE)</f>
        <v>2.4610065309258542</v>
      </c>
      <c r="Q41" s="226">
        <f t="shared" si="7"/>
        <v>5.18083070787001</v>
      </c>
      <c r="R41" s="226">
        <f>VLOOKUP($B41,'Complexity of the crisis'!$C$6:$AN$300,22,FALSE)</f>
        <v>5.7915475657398696</v>
      </c>
      <c r="S41" s="228">
        <f>VLOOKUP($B41,'Complexity of the crisis'!$C$6:$AN$300,38,FALSE)</f>
        <v>4.5</v>
      </c>
      <c r="T41" s="136" t="str">
        <f>VLOOKUP(B41,Lists!$C$3:$E$300,3,FALSE)</f>
        <v>Africa</v>
      </c>
      <c r="U41" s="144">
        <f>VLOOKUP(B41,'INFORM Severity - hidden'!$C$5:$V$300,20,FALSE)</f>
        <v>46265</v>
      </c>
    </row>
    <row r="42" spans="1:21" x14ac:dyDescent="0.35">
      <c r="A42" s="132" t="str">
        <f t="array" ref="A42">IFERROR(INDEX(Lists!$B$2:$B$200,SMALL(IF(Lists!$H$2:$H$200="Yes",ROW(Lists!$B$2:$B$200)),ROW(38:38))-1,1),"")</f>
        <v>Multiple crisis in Madagascar</v>
      </c>
      <c r="B42" s="133" t="str">
        <f>VLOOKUP(A42,Lists!$B$2:$G$200,2,FALSE)</f>
        <v>MDG001</v>
      </c>
      <c r="C42" s="133" t="str">
        <f>VLOOKUP(B42,'INFORM Severity - hidden'!$C$5:$D$200,2,FALSE)</f>
        <v>Madagascar</v>
      </c>
      <c r="D42" s="133" t="str">
        <f>VLOOKUP(A42,Lists!$B$2:$G$200,3,FALSE)</f>
        <v>MDG</v>
      </c>
      <c r="E42" s="133" t="str">
        <f>VLOOKUP(A42,Lists!$B$2:$G$200,5,FALSE)</f>
        <v>Drought/drier conditions,Cyclone</v>
      </c>
      <c r="F42" s="225">
        <f t="shared" si="4"/>
        <v>6.2</v>
      </c>
      <c r="G42" s="234">
        <f t="array" ref="G42">_xlfn.IFS(F42="x", "x", F42&lt;=2, 1, F42&lt;=4, 2, F42&lt;=6, 3, F42&lt;=8, 4, F42&lt;=10, 5)</f>
        <v>4</v>
      </c>
      <c r="H42" s="226" t="str">
        <f t="shared" si="5"/>
        <v>High</v>
      </c>
      <c r="I42" s="227" t="str">
        <f>INDEX(Trends!$D$3:$D$404,MATCH(B42,Trends!$C$3:$C$404,0))</f>
        <v>Stable</v>
      </c>
      <c r="J42" s="226" t="str">
        <f>VLOOKUP($B42,Reliability!$A$3:$I$300,9,FALSE)</f>
        <v>High</v>
      </c>
      <c r="K42" s="226">
        <f t="shared" si="6"/>
        <v>5.5492243678209636</v>
      </c>
      <c r="L42" s="226">
        <f>VLOOKUP($B42,'Impact of the crisis'!$C$6:$N$300,12,FALSE)</f>
        <v>7.2319511848247942</v>
      </c>
      <c r="M42" s="226">
        <f>VLOOKUP($B42,'Impact of the crisis'!$C$6:$AB$300,26,FALSE)</f>
        <v>4.4512623127123776</v>
      </c>
      <c r="N42" s="226">
        <f>VLOOKUP($B42,'Conditions of people affected'!$C$6:$R$300,16,FALSE)</f>
        <v>6.984268288815727</v>
      </c>
      <c r="O42" s="226">
        <f>VLOOKUP($B42,'Conditions of people affected'!$C$6:$R$300,9,FALSE)</f>
        <v>7.8047817485938022</v>
      </c>
      <c r="P42" s="226">
        <f>VLOOKUP($B42,'Conditions of people affected'!$C$6:$R$300,15,FALSE)</f>
        <v>6.1637548290376518</v>
      </c>
      <c r="Q42" s="226">
        <f t="shared" si="7"/>
        <v>5.3324018322236206</v>
      </c>
      <c r="R42" s="226">
        <f>VLOOKUP($B42,'Complexity of the crisis'!$C$6:$AN$300,22,FALSE)</f>
        <v>5.1597976780595589</v>
      </c>
      <c r="S42" s="228">
        <f>VLOOKUP($B42,'Complexity of the crisis'!$C$6:$AN$300,38,FALSE)</f>
        <v>5.5</v>
      </c>
      <c r="T42" s="136" t="str">
        <f>VLOOKUP(B42,Lists!$C$3:$E$300,3,FALSE)</f>
        <v>Africa</v>
      </c>
      <c r="U42" s="144">
        <f>VLOOKUP(B42,'INFORM Severity - hidden'!$C$5:$V$300,20,FALSE)</f>
        <v>46203</v>
      </c>
    </row>
    <row r="43" spans="1:21" x14ac:dyDescent="0.35">
      <c r="A43" s="132" t="str">
        <f t="array" ref="A43">IFERROR(INDEX(Lists!$B$2:$B$200,SMALL(IF(Lists!$H$2:$H$200="Yes",ROW(Lists!$B$2:$B$200)),ROW(39:39))-1,1),"")</f>
        <v>International Displacement to Mexico</v>
      </c>
      <c r="B43" s="133" t="str">
        <f>VLOOKUP(A43,Lists!$B$2:$G$200,2,FALSE)</f>
        <v>MEX003</v>
      </c>
      <c r="C43" s="133" t="str">
        <f>VLOOKUP(B43,'INFORM Severity - hidden'!$C$5:$D$200,2,FALSE)</f>
        <v>Mexico</v>
      </c>
      <c r="D43" s="133" t="str">
        <f>VLOOKUP(A43,Lists!$B$2:$G$200,3,FALSE)</f>
        <v>MEX</v>
      </c>
      <c r="E43" s="133" t="str">
        <f>VLOOKUP(A43,Lists!$B$2:$G$200,5,FALSE)</f>
        <v>International Displacement</v>
      </c>
      <c r="F43" s="225">
        <f t="shared" si="4"/>
        <v>5.8</v>
      </c>
      <c r="G43" s="234">
        <f t="array" ref="G43">_xlfn.IFS(F43="x", "x", F43&lt;=2, 1, F43&lt;=4, 2, F43&lt;=6, 3, F43&lt;=8, 4, F43&lt;=10, 5)</f>
        <v>3</v>
      </c>
      <c r="H43" s="226" t="str">
        <f t="shared" si="5"/>
        <v>Medium</v>
      </c>
      <c r="I43" s="227" t="str">
        <f>INDEX(Trends!$D$3:$D$404,MATCH(B43,Trends!$C$3:$C$404,0))</f>
        <v>Increasing</v>
      </c>
      <c r="J43" s="226" t="str">
        <f>VLOOKUP($B43,Reliability!$A$3:$I$300,9,FALSE)</f>
        <v>High</v>
      </c>
      <c r="K43" s="226">
        <f t="shared" si="6"/>
        <v>5.6168350350064706</v>
      </c>
      <c r="L43" s="226">
        <f>VLOOKUP($B43,'Impact of the crisis'!$C$6:$N$300,12,FALSE)</f>
        <v>5.3067201315515611</v>
      </c>
      <c r="M43" s="226">
        <f>VLOOKUP($B43,'Impact of the crisis'!$C$6:$AB$300,26,FALSE)</f>
        <v>5.7656227558774216</v>
      </c>
      <c r="N43" s="226">
        <f>VLOOKUP($B43,'Conditions of people affected'!$C$6:$R$300,16,FALSE)</f>
        <v>6.6027790207295602</v>
      </c>
      <c r="O43" s="226">
        <f>VLOOKUP($B43,'Conditions of people affected'!$C$6:$R$300,9,FALSE)</f>
        <v>7.2055580414591196</v>
      </c>
      <c r="P43" s="226">
        <f>VLOOKUP($B43,'Conditions of people affected'!$C$6:$R$300,15,FALSE)</f>
        <v>6.0000000000000009</v>
      </c>
      <c r="Q43" s="226">
        <f t="shared" si="7"/>
        <v>4.5988395091069805</v>
      </c>
      <c r="R43" s="226">
        <f>VLOOKUP($B43,'Complexity of the crisis'!$C$6:$AN$300,22,FALSE)</f>
        <v>5.1472496616669696</v>
      </c>
      <c r="S43" s="228">
        <f>VLOOKUP($B43,'Complexity of the crisis'!$C$6:$AN$300,38,FALSE)</f>
        <v>4</v>
      </c>
      <c r="T43" s="136" t="str">
        <f>VLOOKUP(B43,Lists!$C$3:$E$300,3,FALSE)</f>
        <v>Americas</v>
      </c>
      <c r="U43" s="144">
        <f>VLOOKUP(B43,'INFORM Severity - hidden'!$C$5:$V$300,20,FALSE)</f>
        <v>46265</v>
      </c>
    </row>
    <row r="44" spans="1:21" x14ac:dyDescent="0.35">
      <c r="A44" s="132" t="str">
        <f t="array" ref="A44">IFERROR(INDEX(Lists!$B$2:$B$200,SMALL(IF(Lists!$H$2:$H$200="Yes",ROW(Lists!$B$2:$B$200)),ROW(40:40))-1,1),"")</f>
        <v>Complex crisis in Mali</v>
      </c>
      <c r="B44" s="133" t="str">
        <f>VLOOKUP(A44,Lists!$B$2:$G$200,2,FALSE)</f>
        <v>MLI001</v>
      </c>
      <c r="C44" s="133" t="str">
        <f>VLOOKUP(B44,'INFORM Severity - hidden'!$C$5:$D$200,2,FALSE)</f>
        <v>Mali</v>
      </c>
      <c r="D44" s="133" t="str">
        <f>VLOOKUP(A44,Lists!$B$2:$G$200,3,FALSE)</f>
        <v>MLI</v>
      </c>
      <c r="E44" s="133" t="str">
        <f>VLOOKUP(A44,Lists!$B$2:$G$200,5,FALSE)</f>
        <v>Conflict/ Violence,Drought/drier conditions,Political/economic crisis</v>
      </c>
      <c r="F44" s="225">
        <f t="shared" si="4"/>
        <v>8.6</v>
      </c>
      <c r="G44" s="234">
        <f t="array" ref="G44">_xlfn.IFS(F44="x", "x", F44&lt;=2, 1, F44&lt;=4, 2, F44&lt;=6, 3, F44&lt;=8, 4, F44&lt;=10, 5)</f>
        <v>5</v>
      </c>
      <c r="H44" s="226" t="str">
        <f t="shared" si="5"/>
        <v>Very High</v>
      </c>
      <c r="I44" s="227" t="str">
        <f>INDEX(Trends!$D$3:$D$404,MATCH(B44,Trends!$C$3:$C$404,0))</f>
        <v>Increasing</v>
      </c>
      <c r="J44" s="226" t="str">
        <f>VLOOKUP($B44,Reliability!$A$3:$I$300,9,FALSE)</f>
        <v>High</v>
      </c>
      <c r="K44" s="226">
        <f t="shared" si="6"/>
        <v>9.552053409435489</v>
      </c>
      <c r="L44" s="226">
        <f>VLOOKUP($B44,'Impact of the crisis'!$C$6:$N$300,12,FALSE)</f>
        <v>9.8555758258700088</v>
      </c>
      <c r="M44" s="226">
        <f>VLOOKUP($B44,'Impact of the crisis'!$C$6:$AB$300,26,FALSE)</f>
        <v>9.3737950996280617</v>
      </c>
      <c r="N44" s="226">
        <f>VLOOKUP($B44,'Conditions of people affected'!$C$6:$R$300,16,FALSE)</f>
        <v>7.9999519065068982</v>
      </c>
      <c r="O44" s="226">
        <f>VLOOKUP($B44,'Conditions of people affected'!$C$6:$R$300,9,FALSE)</f>
        <v>9.0909906760119572</v>
      </c>
      <c r="P44" s="226">
        <f>VLOOKUP($B44,'Conditions of people affected'!$C$6:$R$300,15,FALSE)</f>
        <v>6.9089131370018393</v>
      </c>
      <c r="Q44" s="226">
        <f t="shared" si="7"/>
        <v>8.4627497639065901</v>
      </c>
      <c r="R44" s="226">
        <f>VLOOKUP($B44,'Complexity of the crisis'!$C$6:$AN$300,22,FALSE)</f>
        <v>6.757706943641975</v>
      </c>
      <c r="S44" s="228">
        <f>VLOOKUP($B44,'Complexity of the crisis'!$C$6:$AN$300,38,FALSE)</f>
        <v>9.5</v>
      </c>
      <c r="T44" s="136" t="str">
        <f>VLOOKUP(B44,Lists!$C$3:$E$300,3,FALSE)</f>
        <v>Africa</v>
      </c>
      <c r="U44" s="144">
        <f>VLOOKUP(B44,'INFORM Severity - hidden'!$C$5:$V$300,20,FALSE)</f>
        <v>46260</v>
      </c>
    </row>
    <row r="45" spans="1:21" x14ac:dyDescent="0.35">
      <c r="A45" s="132" t="str">
        <f t="array" ref="A45">IFERROR(INDEX(Lists!$B$2:$B$200,SMALL(IF(Lists!$H$2:$H$200="Yes",ROW(Lists!$B$2:$B$200)),ROW(41:41))-1,1),"")</f>
        <v>Complex crisis in Myanmar</v>
      </c>
      <c r="B45" s="133" t="str">
        <f>VLOOKUP(A45,Lists!$B$2:$G$200,2,FALSE)</f>
        <v>MMR008</v>
      </c>
      <c r="C45" s="133" t="str">
        <f>VLOOKUP(B45,'INFORM Severity - hidden'!$C$5:$D$200,2,FALSE)</f>
        <v>Myanmar</v>
      </c>
      <c r="D45" s="133" t="str">
        <f>VLOOKUP(A45,Lists!$B$2:$G$200,3,FALSE)</f>
        <v>MMR</v>
      </c>
      <c r="E45" s="133" t="str">
        <f>VLOOKUP(A45,Lists!$B$2:$G$200,5,FALSE)</f>
        <v>Conflict/ Violence,Earthquake,International Displacement,Cyclone,Floods</v>
      </c>
      <c r="F45" s="225">
        <f t="shared" si="4"/>
        <v>9.5</v>
      </c>
      <c r="G45" s="234">
        <f t="array" ref="G45">_xlfn.IFS(F45="x", "x", F45&lt;=2, 1, F45&lt;=4, 2, F45&lt;=6, 3, F45&lt;=8, 4, F45&lt;=10, 5)</f>
        <v>5</v>
      </c>
      <c r="H45" s="226" t="str">
        <f t="shared" si="5"/>
        <v>Very High</v>
      </c>
      <c r="I45" s="227" t="str">
        <f>INDEX(Trends!$D$3:$D$404,MATCH(B45,Trends!$C$3:$C$404,0))</f>
        <v>Increasing</v>
      </c>
      <c r="J45" s="226" t="str">
        <f>VLOOKUP($B45,Reliability!$A$3:$I$300,9,FALSE)</f>
        <v>Very High</v>
      </c>
      <c r="K45" s="226">
        <f t="shared" si="6"/>
        <v>9.7751740789648238</v>
      </c>
      <c r="L45" s="226">
        <f>VLOOKUP($B45,'Impact of the crisis'!$C$6:$N$300,12,FALSE)</f>
        <v>9.8666050833786141</v>
      </c>
      <c r="M45" s="226">
        <f>VLOOKUP($B45,'Impact of the crisis'!$C$6:$AB$300,26,FALSE)</f>
        <v>9.7269696407930208</v>
      </c>
      <c r="N45" s="226">
        <f>VLOOKUP($B45,'Conditions of people affected'!$C$6:$R$300,16,FALSE)</f>
        <v>9.5362477231329699</v>
      </c>
      <c r="O45" s="226">
        <f>VLOOKUP($B45,'Conditions of people affected'!$C$6:$R$300,9,FALSE)</f>
        <v>10</v>
      </c>
      <c r="P45" s="226">
        <f>VLOOKUP($B45,'Conditions of people affected'!$C$6:$R$300,15,FALSE)</f>
        <v>9.0724954462659397</v>
      </c>
      <c r="Q45" s="226">
        <f t="shared" si="7"/>
        <v>9.1762197997369359</v>
      </c>
      <c r="R45" s="226">
        <f>VLOOKUP($B45,'Complexity of the crisis'!$C$6:$AN$300,22,FALSE)</f>
        <v>7.7416871629629638</v>
      </c>
      <c r="S45" s="228">
        <f>VLOOKUP($B45,'Complexity of the crisis'!$C$6:$AN$300,38,FALSE)</f>
        <v>10</v>
      </c>
      <c r="T45" s="136" t="str">
        <f>VLOOKUP(B45,Lists!$C$3:$E$300,3,FALSE)</f>
        <v>Asia</v>
      </c>
      <c r="U45" s="144">
        <f>VLOOKUP(B45,'INFORM Severity - hidden'!$C$5:$V$300,20,FALSE)</f>
        <v>46265</v>
      </c>
    </row>
    <row r="46" spans="1:21" x14ac:dyDescent="0.35">
      <c r="A46" s="132" t="str">
        <f t="array" ref="A46">IFERROR(INDEX(Lists!$B$2:$B$200,SMALL(IF(Lists!$H$2:$H$200="Yes",ROW(Lists!$B$2:$B$200)),ROW(42:42))-1,1),"")</f>
        <v>Multiple crises in Mauritania</v>
      </c>
      <c r="B46" s="133" t="str">
        <f>VLOOKUP(A46,Lists!$B$2:$G$200,2,FALSE)</f>
        <v>MRT004</v>
      </c>
      <c r="C46" s="133" t="str">
        <f>VLOOKUP(B46,'INFORM Severity - hidden'!$C$5:$D$200,2,FALSE)</f>
        <v>Mauritania</v>
      </c>
      <c r="D46" s="133" t="str">
        <f>VLOOKUP(A46,Lists!$B$2:$G$200,3,FALSE)</f>
        <v>MRT</v>
      </c>
      <c r="E46" s="133" t="str">
        <f>VLOOKUP(A46,Lists!$B$2:$G$200,5,FALSE)</f>
        <v>Drought/drier conditions,Floods,International Displacement</v>
      </c>
      <c r="F46" s="225">
        <f t="shared" si="4"/>
        <v>6.1</v>
      </c>
      <c r="G46" s="234">
        <f t="array" ref="G46">_xlfn.IFS(F46="x", "x", F46&lt;=2, 1, F46&lt;=4, 2, F46&lt;=6, 3, F46&lt;=8, 4, F46&lt;=10, 5)</f>
        <v>4</v>
      </c>
      <c r="H46" s="226" t="str">
        <f t="shared" si="5"/>
        <v>High</v>
      </c>
      <c r="I46" s="227" t="str">
        <f>INDEX(Trends!$D$3:$D$404,MATCH(B46,Trends!$C$3:$C$404,0))</f>
        <v>Decreasing</v>
      </c>
      <c r="J46" s="226" t="str">
        <f>VLOOKUP($B46,Reliability!$A$3:$I$300,9,FALSE)</f>
        <v>High</v>
      </c>
      <c r="K46" s="226">
        <f t="shared" si="6"/>
        <v>6.9217879139811798</v>
      </c>
      <c r="L46" s="226">
        <f>VLOOKUP($B46,'Impact of the crisis'!$C$6:$N$300,12,FALSE)</f>
        <v>9.0962945522359</v>
      </c>
      <c r="M46" s="226">
        <f>VLOOKUP($B46,'Impact of the crisis'!$C$6:$AB$300,26,FALSE)</f>
        <v>5.0702612206098934</v>
      </c>
      <c r="N46" s="226">
        <f>VLOOKUP($B46,'Conditions of people affected'!$C$6:$R$300,16,FALSE)</f>
        <v>6.5295421979643571</v>
      </c>
      <c r="O46" s="226">
        <f>VLOOKUP($B46,'Conditions of people affected'!$C$6:$R$300,9,FALSE)</f>
        <v>6.6782017736983539</v>
      </c>
      <c r="P46" s="226">
        <f>VLOOKUP($B46,'Conditions of people affected'!$C$6:$R$300,15,FALSE)</f>
        <v>6.3808826222303612</v>
      </c>
      <c r="Q46" s="226">
        <f t="shared" si="7"/>
        <v>4.6684716747604327</v>
      </c>
      <c r="R46" s="226">
        <f>VLOOKUP($B46,'Complexity of the crisis'!$C$6:$AN$300,22,FALSE)</f>
        <v>4.832650167222222</v>
      </c>
      <c r="S46" s="228">
        <f>VLOOKUP($B46,'Complexity of the crisis'!$C$6:$AN$300,38,FALSE)</f>
        <v>4.5</v>
      </c>
      <c r="T46" s="136" t="str">
        <f>VLOOKUP(B46,Lists!$C$3:$E$300,3,FALSE)</f>
        <v>Africa</v>
      </c>
      <c r="U46" s="144">
        <f>VLOOKUP(B46,'INFORM Severity - hidden'!$C$5:$V$300,20,FALSE)</f>
        <v>46265</v>
      </c>
    </row>
    <row r="47" spans="1:21" x14ac:dyDescent="0.35">
      <c r="A47" s="132" t="str">
        <f t="array" ref="A47">IFERROR(INDEX(Lists!$B$2:$B$200,SMALL(IF(Lists!$H$2:$H$200="Yes",ROW(Lists!$B$2:$B$200)),ROW(43:43))-1,1),"")</f>
        <v>Climatic shocks in Malawi</v>
      </c>
      <c r="B47" s="133" t="str">
        <f>VLOOKUP(A47,Lists!$B$2:$G$200,2,FALSE)</f>
        <v>MWI002</v>
      </c>
      <c r="C47" s="133" t="str">
        <f>VLOOKUP(B47,'INFORM Severity - hidden'!$C$5:$D$200,2,FALSE)</f>
        <v>Malawi</v>
      </c>
      <c r="D47" s="133" t="str">
        <f>VLOOKUP(A47,Lists!$B$2:$G$200,3,FALSE)</f>
        <v>MWI</v>
      </c>
      <c r="E47" s="133" t="str">
        <f>VLOOKUP(A47,Lists!$B$2:$G$200,5,FALSE)</f>
        <v>Drought/drier conditions,Cyclone,Floods,Political/economic crisis</v>
      </c>
      <c r="F47" s="225">
        <f t="shared" si="4"/>
        <v>6.6</v>
      </c>
      <c r="G47" s="234">
        <f t="array" ref="G47">_xlfn.IFS(F47="x", "x", F47&lt;=2, 1, F47&lt;=4, 2, F47&lt;=6, 3, F47&lt;=8, 4, F47&lt;=10, 5)</f>
        <v>4</v>
      </c>
      <c r="H47" s="226" t="str">
        <f t="shared" si="5"/>
        <v>High</v>
      </c>
      <c r="I47" s="227" t="str">
        <f>INDEX(Trends!$D$3:$D$404,MATCH(B47,Trends!$C$3:$C$404,0))</f>
        <v>Increasing</v>
      </c>
      <c r="J47" s="226" t="str">
        <f>VLOOKUP($B47,Reliability!$A$3:$I$300,9,FALSE)</f>
        <v>High</v>
      </c>
      <c r="K47" s="226">
        <f t="shared" si="6"/>
        <v>6.3318355249188016</v>
      </c>
      <c r="L47" s="226">
        <f>VLOOKUP($B47,'Impact of the crisis'!$C$6:$N$300,12,FALSE)</f>
        <v>8.3716805307692557</v>
      </c>
      <c r="M47" s="226">
        <f>VLOOKUP($B47,'Impact of the crisis'!$C$6:$AB$300,26,FALSE)</f>
        <v>4.7984429393725758</v>
      </c>
      <c r="N47" s="226">
        <f>VLOOKUP($B47,'Conditions of people affected'!$C$6:$R$300,16,FALSE)</f>
        <v>6.8111349489248845</v>
      </c>
      <c r="O47" s="226">
        <f>VLOOKUP($B47,'Conditions of people affected'!$C$6:$R$300,9,FALSE)</f>
        <v>7.6222698978497672</v>
      </c>
      <c r="P47" s="226">
        <f>VLOOKUP($B47,'Conditions of people affected'!$C$6:$R$300,15,FALSE)</f>
        <v>6.0000000000000009</v>
      </c>
      <c r="Q47" s="226">
        <f t="shared" si="7"/>
        <v>6.569235950220035</v>
      </c>
      <c r="R47" s="226">
        <f>VLOOKUP($B47,'Complexity of the crisis'!$C$6:$AN$300,22,FALSE)</f>
        <v>4.4804800470370365</v>
      </c>
      <c r="S47" s="228">
        <f>VLOOKUP($B47,'Complexity of the crisis'!$C$6:$AN$300,38,FALSE)</f>
        <v>8</v>
      </c>
      <c r="T47" s="136" t="str">
        <f>VLOOKUP(B47,Lists!$C$3:$E$300,3,FALSE)</f>
        <v>Africa</v>
      </c>
      <c r="U47" s="144">
        <f>VLOOKUP(B47,'INFORM Severity - hidden'!$C$5:$V$300,20,FALSE)</f>
        <v>46261</v>
      </c>
    </row>
    <row r="48" spans="1:21" x14ac:dyDescent="0.35">
      <c r="A48" s="132" t="str">
        <f t="array" ref="A48">IFERROR(INDEX(Lists!$B$2:$B$200,SMALL(IF(Lists!$H$2:$H$200="Yes",ROW(Lists!$B$2:$B$200)),ROW(44:44))-1,1),"")</f>
        <v>International Displacement to Malaysia</v>
      </c>
      <c r="B48" s="133" t="str">
        <f>VLOOKUP(A48,Lists!$B$2:$G$200,2,FALSE)</f>
        <v>MYS001</v>
      </c>
      <c r="C48" s="133" t="str">
        <f>VLOOKUP(B48,'INFORM Severity - hidden'!$C$5:$D$200,2,FALSE)</f>
        <v>Malaysia</v>
      </c>
      <c r="D48" s="133" t="str">
        <f>VLOOKUP(A48,Lists!$B$2:$G$200,3,FALSE)</f>
        <v>MYS</v>
      </c>
      <c r="E48" s="133" t="str">
        <f>VLOOKUP(A48,Lists!$B$2:$G$200,5,FALSE)</f>
        <v>International Displacement</v>
      </c>
      <c r="F48" s="225">
        <f t="shared" si="4"/>
        <v>3.8</v>
      </c>
      <c r="G48" s="234">
        <f t="array" ref="G48">_xlfn.IFS(F48="x", "x", F48&lt;=2, 1, F48&lt;=4, 2, F48&lt;=6, 3, F48&lt;=8, 4, F48&lt;=10, 5)</f>
        <v>2</v>
      </c>
      <c r="H48" s="226" t="str">
        <f t="shared" si="5"/>
        <v>Low</v>
      </c>
      <c r="I48" s="227" t="str">
        <f>INDEX(Trends!$D$3:$D$404,MATCH(B48,Trends!$C$3:$C$404,0))</f>
        <v>Decreasing</v>
      </c>
      <c r="J48" s="226" t="str">
        <f>VLOOKUP($B48,Reliability!$A$3:$I$300,9,FALSE)</f>
        <v>Very High</v>
      </c>
      <c r="K48" s="226">
        <f t="shared" si="6"/>
        <v>3.7164838607573842</v>
      </c>
      <c r="L48" s="226">
        <f>VLOOKUP($B48,'Impact of the crisis'!$C$6:$N$300,12,FALSE)</f>
        <v>3.5857714134923571</v>
      </c>
      <c r="M48" s="226">
        <f>VLOOKUP($B48,'Impact of the crisis'!$C$6:$AB$300,26,FALSE)</f>
        <v>3.7809861928164628</v>
      </c>
      <c r="N48" s="226">
        <f>VLOOKUP($B48,'Conditions of people affected'!$C$6:$R$300,16,FALSE)</f>
        <v>3.9886913551630556</v>
      </c>
      <c r="O48" s="226">
        <f>VLOOKUP($B48,'Conditions of people affected'!$C$6:$R$300,9,FALSE)</f>
        <v>4.4481791705031029</v>
      </c>
      <c r="P48" s="226">
        <f>VLOOKUP($B48,'Conditions of people affected'!$C$6:$R$300,15,FALSE)</f>
        <v>3.5292035398230079</v>
      </c>
      <c r="Q48" s="226">
        <f t="shared" si="7"/>
        <v>3.4178916288916215</v>
      </c>
      <c r="R48" s="226">
        <f>VLOOKUP($B48,'Complexity of the crisis'!$C$6:$AN$300,22,FALSE)</f>
        <v>3.3348974758641976</v>
      </c>
      <c r="S48" s="228">
        <f>VLOOKUP($B48,'Complexity of the crisis'!$C$6:$AN$300,38,FALSE)</f>
        <v>3.5</v>
      </c>
      <c r="T48" s="136" t="str">
        <f>VLOOKUP(B48,Lists!$C$3:$E$300,3,FALSE)</f>
        <v>Asia</v>
      </c>
      <c r="U48" s="144">
        <f>VLOOKUP(B48,'INFORM Severity - hidden'!$C$5:$V$300,20,FALSE)</f>
        <v>46265</v>
      </c>
    </row>
    <row r="49" spans="1:21" x14ac:dyDescent="0.35">
      <c r="A49" s="132" t="str">
        <f t="array" ref="A49">IFERROR(INDEX(Lists!$B$2:$B$200,SMALL(IF(Lists!$H$2:$H$200="Yes",ROW(Lists!$B$2:$B$200)),ROW(45:45))-1,1),"")</f>
        <v>Drought in Namibia</v>
      </c>
      <c r="B49" s="133" t="str">
        <f>VLOOKUP(A49,Lists!$B$2:$G$200,2,FALSE)</f>
        <v>NAM002</v>
      </c>
      <c r="C49" s="133" t="str">
        <f>VLOOKUP(B49,'INFORM Severity - hidden'!$C$5:$D$200,2,FALSE)</f>
        <v>Namibia</v>
      </c>
      <c r="D49" s="133" t="str">
        <f>VLOOKUP(A49,Lists!$B$2:$G$200,3,FALSE)</f>
        <v>NAM</v>
      </c>
      <c r="E49" s="133" t="str">
        <f>VLOOKUP(A49,Lists!$B$2:$G$200,5,FALSE)</f>
        <v>Drought/drier conditions</v>
      </c>
      <c r="F49" s="225">
        <f t="shared" si="4"/>
        <v>5.3</v>
      </c>
      <c r="G49" s="234">
        <f t="array" ref="G49">_xlfn.IFS(F49="x", "x", F49&lt;=2, 1, F49&lt;=4, 2, F49&lt;=6, 3, F49&lt;=8, 4, F49&lt;=10, 5)</f>
        <v>3</v>
      </c>
      <c r="H49" s="226" t="str">
        <f t="shared" si="5"/>
        <v>Medium</v>
      </c>
      <c r="I49" s="227" t="str">
        <f>INDEX(Trends!$D$3:$D$404,MATCH(B49,Trends!$C$3:$C$404,0))</f>
        <v>Stable</v>
      </c>
      <c r="J49" s="226" t="str">
        <f>VLOOKUP($B49,Reliability!$A$3:$I$300,9,FALSE)</f>
        <v>Medium</v>
      </c>
      <c r="K49" s="226">
        <f t="shared" si="6"/>
        <v>5.8759212082568002</v>
      </c>
      <c r="L49" s="226">
        <f>VLOOKUP($B49,'Impact of the crisis'!$C$6:$N$300,12,FALSE)</f>
        <v>8.6803251681296771</v>
      </c>
      <c r="M49" s="226">
        <f>VLOOKUP($B49,'Impact of the crisis'!$C$6:$AB$300,26,FALSE)</f>
        <v>3.4282089623729473</v>
      </c>
      <c r="N49" s="226">
        <f>VLOOKUP($B49,'Conditions of people affected'!$C$6:$R$300,16,FALSE)</f>
        <v>5.6844336051497999</v>
      </c>
      <c r="O49" s="226">
        <f>VLOOKUP($B49,'Conditions of people affected'!$C$6:$R$300,9,FALSE)</f>
        <v>5.3688672102995989</v>
      </c>
      <c r="P49" s="226">
        <f>VLOOKUP($B49,'Conditions of people affected'!$C$6:$R$300,15,FALSE)</f>
        <v>6.0000000000000009</v>
      </c>
      <c r="Q49" s="226">
        <f t="shared" si="7"/>
        <v>4.2305662746436363</v>
      </c>
      <c r="R49" s="226">
        <f>VLOOKUP($B49,'Complexity of the crisis'!$C$6:$AN$300,22,FALSE)</f>
        <v>4.4536568108024692</v>
      </c>
      <c r="S49" s="228">
        <f>VLOOKUP($B49,'Complexity of the crisis'!$C$6:$AN$300,38,FALSE)</f>
        <v>4</v>
      </c>
      <c r="T49" s="136" t="str">
        <f>VLOOKUP(B49,Lists!$C$3:$E$300,3,FALSE)</f>
        <v>Africa</v>
      </c>
      <c r="U49" s="144">
        <f>VLOOKUP(B49,'INFORM Severity - hidden'!$C$5:$V$300,20,FALSE)</f>
        <v>46261</v>
      </c>
    </row>
    <row r="50" spans="1:21" x14ac:dyDescent="0.35">
      <c r="A50" s="132" t="str">
        <f t="array" ref="A50">IFERROR(INDEX(Lists!$B$2:$B$200,SMALL(IF(Lists!$H$2:$H$200="Yes",ROW(Lists!$B$2:$B$200)),ROW(46:46))-1,1),"")</f>
        <v>Complex crisis in Niger</v>
      </c>
      <c r="B50" s="133" t="str">
        <f>VLOOKUP(A50,Lists!$B$2:$G$200,2,FALSE)</f>
        <v>NER006</v>
      </c>
      <c r="C50" s="133" t="str">
        <f>VLOOKUP(B50,'INFORM Severity - hidden'!$C$5:$D$200,2,FALSE)</f>
        <v>Niger</v>
      </c>
      <c r="D50" s="133" t="str">
        <f>VLOOKUP(A50,Lists!$B$2:$G$200,3,FALSE)</f>
        <v>NER</v>
      </c>
      <c r="E50" s="133" t="str">
        <f>VLOOKUP(A50,Lists!$B$2:$G$200,5,FALSE)</f>
        <v>Conflict/ Violence,Drought/drier conditions,Floods</v>
      </c>
      <c r="F50" s="225">
        <f t="shared" si="4"/>
        <v>7.8</v>
      </c>
      <c r="G50" s="234">
        <f t="array" ref="G50">_xlfn.IFS(F50="x", "x", F50&lt;=2, 1, F50&lt;=4, 2, F50&lt;=6, 3, F50&lt;=8, 4, F50&lt;=10, 5)</f>
        <v>4</v>
      </c>
      <c r="H50" s="226" t="str">
        <f t="shared" si="5"/>
        <v>High</v>
      </c>
      <c r="I50" s="227" t="str">
        <f>INDEX(Trends!$D$3:$D$404,MATCH(B50,Trends!$C$3:$C$404,0))</f>
        <v>Increasing</v>
      </c>
      <c r="J50" s="226" t="str">
        <f>VLOOKUP($B50,Reliability!$A$3:$I$300,9,FALSE)</f>
        <v>High</v>
      </c>
      <c r="K50" s="226">
        <f t="shared" si="6"/>
        <v>7.3895738418925685</v>
      </c>
      <c r="L50" s="226">
        <f>VLOOKUP($B50,'Impact of the crisis'!$C$6:$N$300,12,FALSE)</f>
        <v>7.0482449668890466</v>
      </c>
      <c r="M50" s="226">
        <f>VLOOKUP($B50,'Impact of the crisis'!$C$6:$AB$300,26,FALSE)</f>
        <v>7.5493293822301961</v>
      </c>
      <c r="N50" s="226">
        <f>VLOOKUP($B50,'Conditions of people affected'!$C$6:$R$300,16,FALSE)</f>
        <v>7.5627572565310004</v>
      </c>
      <c r="O50" s="226">
        <f>VLOOKUP($B50,'Conditions of people affected'!$C$6:$R$300,9,FALSE)</f>
        <v>8.295638994389801</v>
      </c>
      <c r="P50" s="226">
        <f>VLOOKUP($B50,'Conditions of people affected'!$C$6:$R$300,15,FALSE)</f>
        <v>6.8298755186721998</v>
      </c>
      <c r="Q50" s="226">
        <f t="shared" si="7"/>
        <v>8.393730035944472</v>
      </c>
      <c r="R50" s="226">
        <f>VLOOKUP($B50,'Complexity of the crisis'!$C$6:$AN$300,22,FALSE)</f>
        <v>6.5278394442790999</v>
      </c>
      <c r="S50" s="228">
        <f>VLOOKUP($B50,'Complexity of the crisis'!$C$6:$AN$300,38,FALSE)</f>
        <v>9.5</v>
      </c>
      <c r="T50" s="136" t="str">
        <f>VLOOKUP(B50,Lists!$C$3:$E$300,3,FALSE)</f>
        <v>Africa</v>
      </c>
      <c r="U50" s="144">
        <f>VLOOKUP(B50,'INFORM Severity - hidden'!$C$5:$V$300,20,FALSE)</f>
        <v>46260</v>
      </c>
    </row>
    <row r="51" spans="1:21" x14ac:dyDescent="0.35">
      <c r="A51" s="132" t="str">
        <f t="array" ref="A51">IFERROR(INDEX(Lists!$B$2:$B$200,SMALL(IF(Lists!$H$2:$H$200="Yes",ROW(Lists!$B$2:$B$200)),ROW(47:47))-1,1),"")</f>
        <v>Multiple Crises in Nigeria</v>
      </c>
      <c r="B51" s="133" t="str">
        <f>VLOOKUP(A51,Lists!$B$2:$G$200,2,FALSE)</f>
        <v>NGA009</v>
      </c>
      <c r="C51" s="133" t="str">
        <f>VLOOKUP(B51,'INFORM Severity - hidden'!$C$5:$D$200,2,FALSE)</f>
        <v>Nigeria</v>
      </c>
      <c r="D51" s="133" t="str">
        <f>VLOOKUP(A51,Lists!$B$2:$G$200,3,FALSE)</f>
        <v>NGA</v>
      </c>
      <c r="E51" s="133" t="str">
        <f>VLOOKUP(A51,Lists!$B$2:$G$200,5,FALSE)</f>
        <v>Conflict/ Violence,International Displacement</v>
      </c>
      <c r="F51" s="225">
        <f t="shared" si="4"/>
        <v>8.5</v>
      </c>
      <c r="G51" s="234">
        <f t="array" ref="G51">_xlfn.IFS(F51="x", "x", F51&lt;=2, 1, F51&lt;=4, 2, F51&lt;=6, 3, F51&lt;=8, 4, F51&lt;=10, 5)</f>
        <v>5</v>
      </c>
      <c r="H51" s="226" t="str">
        <f t="shared" si="5"/>
        <v>Very High</v>
      </c>
      <c r="I51" s="227" t="str">
        <f>INDEX(Trends!$D$3:$D$404,MATCH(B51,Trends!$C$3:$C$404,0))</f>
        <v>Increasing</v>
      </c>
      <c r="J51" s="226" t="str">
        <f>VLOOKUP($B51,Reliability!$A$3:$I$300,9,FALSE)</f>
        <v>Very High</v>
      </c>
      <c r="K51" s="226">
        <f t="shared" si="6"/>
        <v>8.5027723313262875</v>
      </c>
      <c r="L51" s="226">
        <f>VLOOKUP($B51,'Impact of the crisis'!$C$6:$N$300,12,FALSE)</f>
        <v>7.8070517211772605</v>
      </c>
      <c r="M51" s="226">
        <f>VLOOKUP($B51,'Impact of the crisis'!$C$6:$AB$300,26,FALSE)</f>
        <v>8.7935986661229375</v>
      </c>
      <c r="N51" s="226">
        <f>VLOOKUP($B51,'Conditions of people affected'!$C$6:$R$300,16,FALSE)</f>
        <v>8.5062220055735924</v>
      </c>
      <c r="O51" s="226">
        <f>VLOOKUP($B51,'Conditions of people affected'!$C$6:$R$300,9,FALSE)</f>
        <v>10</v>
      </c>
      <c r="P51" s="226">
        <f>VLOOKUP($B51,'Conditions of people affected'!$C$6:$R$300,15,FALSE)</f>
        <v>7.012444011147184</v>
      </c>
      <c r="Q51" s="226">
        <f t="shared" si="7"/>
        <v>8.4005623745433056</v>
      </c>
      <c r="R51" s="226">
        <f>VLOOKUP($B51,'Complexity of the crisis'!$C$6:$AN$300,22,FALSE)</f>
        <v>6.550858002160493</v>
      </c>
      <c r="S51" s="228">
        <f>VLOOKUP($B51,'Complexity of the crisis'!$C$6:$AN$300,38,FALSE)</f>
        <v>9.5</v>
      </c>
      <c r="T51" s="136" t="str">
        <f>VLOOKUP(B51,Lists!$C$3:$E$300,3,FALSE)</f>
        <v>Africa</v>
      </c>
      <c r="U51" s="144">
        <f>VLOOKUP(B51,'INFORM Severity - hidden'!$C$5:$V$300,20,FALSE)</f>
        <v>46265</v>
      </c>
    </row>
    <row r="52" spans="1:21" x14ac:dyDescent="0.35">
      <c r="A52" s="132" t="str">
        <f t="array" ref="A52">IFERROR(INDEX(Lists!$B$2:$B$200,SMALL(IF(Lists!$H$2:$H$200="Yes",ROW(Lists!$B$2:$B$200)),ROW(48:48))-1,1),"")</f>
        <v>Multiple crises in Pakistan</v>
      </c>
      <c r="B52" s="133" t="str">
        <f>VLOOKUP(A52,Lists!$B$2:$G$200,2,FALSE)</f>
        <v>PAK008</v>
      </c>
      <c r="C52" s="133" t="str">
        <f>VLOOKUP(B52,'INFORM Severity - hidden'!$C$5:$D$200,2,FALSE)</f>
        <v>Pakistan</v>
      </c>
      <c r="D52" s="133" t="str">
        <f>VLOOKUP(A52,Lists!$B$2:$G$200,3,FALSE)</f>
        <v>PAK</v>
      </c>
      <c r="E52" s="133" t="str">
        <f>VLOOKUP(A52,Lists!$B$2:$G$200,5,FALSE)</f>
        <v>Floods,International Displacement,Political/economic crisis,Conflict/ Violence</v>
      </c>
      <c r="F52" s="225">
        <f t="shared" si="4"/>
        <v>8.3000000000000007</v>
      </c>
      <c r="G52" s="234">
        <f t="array" ref="G52">_xlfn.IFS(F52="x", "x", F52&lt;=2, 1, F52&lt;=4, 2, F52&lt;=6, 3, F52&lt;=8, 4, F52&lt;=10, 5)</f>
        <v>5</v>
      </c>
      <c r="H52" s="226" t="str">
        <f t="shared" si="5"/>
        <v>Very High</v>
      </c>
      <c r="I52" s="227" t="str">
        <f>INDEX(Trends!$D$3:$D$404,MATCH(B52,Trends!$C$3:$C$404,0))</f>
        <v>Increasing</v>
      </c>
      <c r="J52" s="226" t="str">
        <f>VLOOKUP($B52,Reliability!$A$3:$I$300,9,FALSE)</f>
        <v>High</v>
      </c>
      <c r="K52" s="226">
        <f t="shared" si="6"/>
        <v>7.9761775974967994</v>
      </c>
      <c r="L52" s="226">
        <f>VLOOKUP($B52,'Impact of the crisis'!$C$6:$N$300,12,FALSE)</f>
        <v>7.4151571378484684</v>
      </c>
      <c r="M52" s="226">
        <f>VLOOKUP($B52,'Impact of the crisis'!$C$6:$AB$300,26,FALSE)</f>
        <v>8.2238954494938081</v>
      </c>
      <c r="N52" s="226">
        <f>VLOOKUP($B52,'Conditions of people affected'!$C$6:$R$300,16,FALSE)</f>
        <v>8.517485564876349</v>
      </c>
      <c r="O52" s="226">
        <f>VLOOKUP($B52,'Conditions of people affected'!$C$6:$R$300,9,FALSE)</f>
        <v>10</v>
      </c>
      <c r="P52" s="226">
        <f>VLOOKUP($B52,'Conditions of people affected'!$C$6:$R$300,15,FALSE)</f>
        <v>7.0349711297526962</v>
      </c>
      <c r="Q52" s="226">
        <f t="shared" si="7"/>
        <v>8.1136051293444318</v>
      </c>
      <c r="R52" s="226">
        <f>VLOOKUP($B52,'Complexity of the crisis'!$C$6:$AN$300,22,FALSE)</f>
        <v>6.8550385323456782</v>
      </c>
      <c r="S52" s="228">
        <f>VLOOKUP($B52,'Complexity of the crisis'!$C$6:$AN$300,38,FALSE)</f>
        <v>9</v>
      </c>
      <c r="T52" s="136" t="str">
        <f>VLOOKUP(B52,Lists!$C$3:$E$300,3,FALSE)</f>
        <v>Asia</v>
      </c>
      <c r="U52" s="144">
        <f>VLOOKUP(B52,'INFORM Severity - hidden'!$C$5:$V$300,20,FALSE)</f>
        <v>46265</v>
      </c>
    </row>
    <row r="53" spans="1:21" x14ac:dyDescent="0.35">
      <c r="A53" s="132" t="str">
        <f t="array" ref="A53">IFERROR(INDEX(Lists!$B$2:$B$200,SMALL(IF(Lists!$H$2:$H$200="Yes",ROW(Lists!$B$2:$B$200)),ROW(49:49))-1,1),"")</f>
        <v>Displacement from Venezuela to Panama</v>
      </c>
      <c r="B53" s="133" t="str">
        <f>VLOOKUP(A53,Lists!$B$2:$G$200,2,FALSE)</f>
        <v>PAN002</v>
      </c>
      <c r="C53" s="133" t="str">
        <f>VLOOKUP(B53,'INFORM Severity - hidden'!$C$5:$D$200,2,FALSE)</f>
        <v>Panama</v>
      </c>
      <c r="D53" s="133" t="str">
        <f>VLOOKUP(A53,Lists!$B$2:$G$200,3,FALSE)</f>
        <v>PAN</v>
      </c>
      <c r="E53" s="133" t="str">
        <f>VLOOKUP(A53,Lists!$B$2:$G$200,5,FALSE)</f>
        <v>International Displacement</v>
      </c>
      <c r="F53" s="225">
        <f t="shared" si="4"/>
        <v>3.9</v>
      </c>
      <c r="G53" s="234">
        <f t="array" ref="G53">_xlfn.IFS(F53="x", "x", F53&lt;=2, 1, F53&lt;=4, 2, F53&lt;=6, 3, F53&lt;=8, 4, F53&lt;=10, 5)</f>
        <v>2</v>
      </c>
      <c r="H53" s="226" t="str">
        <f t="shared" si="5"/>
        <v>Low</v>
      </c>
      <c r="I53" s="227" t="str">
        <f>INDEX(Trends!$D$3:$D$404,MATCH(B53,Trends!$C$3:$C$404,0))</f>
        <v>Decreasing</v>
      </c>
      <c r="J53" s="226" t="str">
        <f>VLOOKUP($B53,Reliability!$A$3:$I$300,9,FALSE)</f>
        <v>Very High</v>
      </c>
      <c r="K53" s="226">
        <f t="shared" si="6"/>
        <v>5.3348384367542572</v>
      </c>
      <c r="L53" s="226">
        <f>VLOOKUP($B53,'Impact of the crisis'!$C$6:$N$300,12,FALSE)</f>
        <v>7.6931859529336499</v>
      </c>
      <c r="M53" s="226">
        <f>VLOOKUP($B53,'Impact of the crisis'!$C$6:$AB$300,26,FALSE)</f>
        <v>3.6019701823365216</v>
      </c>
      <c r="N53" s="226">
        <f>VLOOKUP($B53,'Conditions of people affected'!$C$6:$R$300,16,FALSE)</f>
        <v>2.7155441913518716</v>
      </c>
      <c r="O53" s="226">
        <f>VLOOKUP($B53,'Conditions of people affected'!$C$6:$R$300,9,FALSE)</f>
        <v>2.3006536000950462</v>
      </c>
      <c r="P53" s="226">
        <f>VLOOKUP($B53,'Conditions of people affected'!$C$6:$R$300,15,FALSE)</f>
        <v>3.1304347826086976</v>
      </c>
      <c r="Q53" s="226">
        <f t="shared" si="7"/>
        <v>4.2904356453217538</v>
      </c>
      <c r="R53" s="226">
        <f>VLOOKUP($B53,'Complexity of the crisis'!$C$6:$AN$300,22,FALSE)</f>
        <v>4.074228349991988</v>
      </c>
      <c r="S53" s="228">
        <f>VLOOKUP($B53,'Complexity of the crisis'!$C$6:$AN$300,38,FALSE)</f>
        <v>4.5</v>
      </c>
      <c r="T53" s="136" t="str">
        <f>VLOOKUP(B53,Lists!$C$3:$E$300,3,FALSE)</f>
        <v>Americas</v>
      </c>
      <c r="U53" s="144">
        <f>VLOOKUP(B53,'INFORM Severity - hidden'!$C$5:$V$300,20,FALSE)</f>
        <v>46265</v>
      </c>
    </row>
    <row r="54" spans="1:21" x14ac:dyDescent="0.35">
      <c r="A54" s="132" t="str">
        <f t="array" ref="A54">IFERROR(INDEX(Lists!$B$2:$B$200,SMALL(IF(Lists!$H$2:$H$200="Yes",ROW(Lists!$B$2:$B$200)),ROW(50:50))-1,1),"")</f>
        <v>Displacement from Venezuela to Peru</v>
      </c>
      <c r="B54" s="133" t="str">
        <f>VLOOKUP(A54,Lists!$B$2:$G$200,2,FALSE)</f>
        <v>PER002</v>
      </c>
      <c r="C54" s="133" t="str">
        <f>VLOOKUP(B54,'INFORM Severity - hidden'!$C$5:$D$200,2,FALSE)</f>
        <v>Peru</v>
      </c>
      <c r="D54" s="133" t="str">
        <f>VLOOKUP(A54,Lists!$B$2:$G$200,3,FALSE)</f>
        <v>PER</v>
      </c>
      <c r="E54" s="133" t="str">
        <f>VLOOKUP(A54,Lists!$B$2:$G$200,5,FALSE)</f>
        <v>International Displacement</v>
      </c>
      <c r="F54" s="225">
        <f t="shared" si="4"/>
        <v>6</v>
      </c>
      <c r="G54" s="234">
        <f t="array" ref="G54">_xlfn.IFS(F54="x", "x", F54&lt;=2, 1, F54&lt;=4, 2, F54&lt;=6, 3, F54&lt;=8, 4, F54&lt;=10, 5)</f>
        <v>3</v>
      </c>
      <c r="H54" s="226" t="str">
        <f t="shared" si="5"/>
        <v>Medium</v>
      </c>
      <c r="I54" s="227" t="str">
        <f>INDEX(Trends!$D$3:$D$404,MATCH(B54,Trends!$C$3:$C$404,0))</f>
        <v>Stable</v>
      </c>
      <c r="J54" s="226" t="str">
        <f>VLOOKUP($B54,Reliability!$A$3:$I$300,9,FALSE)</f>
        <v>Very High</v>
      </c>
      <c r="K54" s="226">
        <f t="shared" si="6"/>
        <v>6.4773329118690262</v>
      </c>
      <c r="L54" s="226">
        <f>VLOOKUP($B54,'Impact of the crisis'!$C$6:$N$300,12,FALSE)</f>
        <v>7.7913375052987721</v>
      </c>
      <c r="M54" s="226">
        <f>VLOOKUP($B54,'Impact of the crisis'!$C$6:$AB$300,26,FALSE)</f>
        <v>5.6365585583754854</v>
      </c>
      <c r="N54" s="226">
        <f>VLOOKUP($B54,'Conditions of people affected'!$C$6:$R$300,16,FALSE)</f>
        <v>6.8543340654354328</v>
      </c>
      <c r="O54" s="226">
        <f>VLOOKUP($B54,'Conditions of people affected'!$C$6:$R$300,9,FALSE)</f>
        <v>7.7086681308708638</v>
      </c>
      <c r="P54" s="226">
        <f>VLOOKUP($B54,'Conditions of people affected'!$C$6:$R$300,15,FALSE)</f>
        <v>6.0000000000000009</v>
      </c>
      <c r="Q54" s="226">
        <f t="shared" si="7"/>
        <v>4.2247043088166629</v>
      </c>
      <c r="R54" s="226">
        <f>VLOOKUP($B54,'Complexity of the crisis'!$C$6:$AN$300,22,FALSE)</f>
        <v>3.9379449292592592</v>
      </c>
      <c r="S54" s="228">
        <f>VLOOKUP($B54,'Complexity of the crisis'!$C$6:$AN$300,38,FALSE)</f>
        <v>4.5</v>
      </c>
      <c r="T54" s="136" t="str">
        <f>VLOOKUP(B54,Lists!$C$3:$E$300,3,FALSE)</f>
        <v>Americas</v>
      </c>
      <c r="U54" s="144">
        <f>VLOOKUP(B54,'INFORM Severity - hidden'!$C$5:$V$300,20,FALSE)</f>
        <v>46265</v>
      </c>
    </row>
    <row r="55" spans="1:21" x14ac:dyDescent="0.35">
      <c r="A55" s="132" t="str">
        <f t="array" ref="A55">IFERROR(INDEX(Lists!$B$2:$B$200,SMALL(IF(Lists!$H$2:$H$200="Yes",ROW(Lists!$B$2:$B$200)),ROW(51:51))-1,1),"")</f>
        <v>Multiple crises in the Philippines</v>
      </c>
      <c r="B55" s="133" t="str">
        <f>VLOOKUP(A55,Lists!$B$2:$G$200,2,FALSE)</f>
        <v>PHL001</v>
      </c>
      <c r="C55" s="133" t="str">
        <f>VLOOKUP(B55,'INFORM Severity - hidden'!$C$5:$D$200,2,FALSE)</f>
        <v>Philippines</v>
      </c>
      <c r="D55" s="133" t="str">
        <f>VLOOKUP(A55,Lists!$B$2:$G$200,3,FALSE)</f>
        <v>PHL</v>
      </c>
      <c r="E55" s="133" t="str">
        <f>VLOOKUP(A55,Lists!$B$2:$G$200,5,FALSE)</f>
        <v>Conflict/ Violence,Cyclone,Floods</v>
      </c>
      <c r="F55" s="225">
        <f t="shared" si="4"/>
        <v>6.1</v>
      </c>
      <c r="G55" s="234">
        <f t="array" ref="G55">_xlfn.IFS(F55="x", "x", F55&lt;=2, 1, F55&lt;=4, 2, F55&lt;=6, 3, F55&lt;=8, 4, F55&lt;=10, 5)</f>
        <v>4</v>
      </c>
      <c r="H55" s="226" t="str">
        <f t="shared" si="5"/>
        <v>High</v>
      </c>
      <c r="I55" s="227" t="str">
        <f>INDEX(Trends!$D$3:$D$404,MATCH(B55,Trends!$C$3:$C$404,0))</f>
        <v>Increasing</v>
      </c>
      <c r="J55" s="226" t="str">
        <f>VLOOKUP($B55,Reliability!$A$3:$I$300,9,FALSE)</f>
        <v>Very High</v>
      </c>
      <c r="K55" s="226">
        <f t="shared" si="6"/>
        <v>5.2858079475306763</v>
      </c>
      <c r="L55" s="226">
        <f>VLOOKUP($B55,'Impact of the crisis'!$C$6:$N$300,12,FALSE)</f>
        <v>2.4245378205643555</v>
      </c>
      <c r="M55" s="226">
        <f>VLOOKUP($B55,'Impact of the crisis'!$C$6:$AB$300,26,FALSE)</f>
        <v>6.3407247573477266</v>
      </c>
      <c r="N55" s="226">
        <f>VLOOKUP($B55,'Conditions of people affected'!$C$6:$R$300,16,FALSE)</f>
        <v>6.7049607498223187</v>
      </c>
      <c r="O55" s="226">
        <f>VLOOKUP($B55,'Conditions of people affected'!$C$6:$R$300,9,FALSE)</f>
        <v>7.4099214996446365</v>
      </c>
      <c r="P55" s="226">
        <f>VLOOKUP($B55,'Conditions of people affected'!$C$6:$R$300,15,FALSE)</f>
        <v>6.0000000000000009</v>
      </c>
      <c r="Q55" s="226">
        <f t="shared" si="7"/>
        <v>5.8121465194867872</v>
      </c>
      <c r="R55" s="226">
        <f>VLOOKUP($B55,'Complexity of the crisis'!$C$6:$AN$300,22,FALSE)</f>
        <v>5.0216838414823171</v>
      </c>
      <c r="S55" s="228">
        <f>VLOOKUP($B55,'Complexity of the crisis'!$C$6:$AN$300,38,FALSE)</f>
        <v>6.5</v>
      </c>
      <c r="T55" s="136" t="str">
        <f>VLOOKUP(B55,Lists!$C$3:$E$300,3,FALSE)</f>
        <v>Asia</v>
      </c>
      <c r="U55" s="144">
        <f>VLOOKUP(B55,'INFORM Severity - hidden'!$C$5:$V$300,20,FALSE)</f>
        <v>46265</v>
      </c>
    </row>
    <row r="56" spans="1:21" x14ac:dyDescent="0.35">
      <c r="A56" s="132" t="str">
        <f t="array" ref="A56">IFERROR(INDEX(Lists!$B$2:$B$200,SMALL(IF(Lists!$H$2:$H$200="Yes",ROW(Lists!$B$2:$B$200)),ROW(52:52))-1,1),"")</f>
        <v>Multiple crises in Palestine</v>
      </c>
      <c r="B56" s="133" t="str">
        <f>VLOOKUP(A56,Lists!$B$2:$G$200,2,FALSE)</f>
        <v>PSE002</v>
      </c>
      <c r="C56" s="133" t="str">
        <f>VLOOKUP(B56,'INFORM Severity - hidden'!$C$5:$D$200,2,FALSE)</f>
        <v>Palestine</v>
      </c>
      <c r="D56" s="133" t="str">
        <f>VLOOKUP(A56,Lists!$B$2:$G$200,3,FALSE)</f>
        <v>PSE</v>
      </c>
      <c r="E56" s="133" t="str">
        <f>VLOOKUP(A56,Lists!$B$2:$G$200,5,FALSE)</f>
        <v>Conflict/ Violence</v>
      </c>
      <c r="F56" s="225">
        <f t="shared" si="4"/>
        <v>8.4</v>
      </c>
      <c r="G56" s="234">
        <f t="array" ref="G56">_xlfn.IFS(F56="x", "x", F56&lt;=2, 1, F56&lt;=4, 2, F56&lt;=6, 3, F56&lt;=8, 4, F56&lt;=10, 5)</f>
        <v>5</v>
      </c>
      <c r="H56" s="226" t="str">
        <f t="shared" si="5"/>
        <v>Very High</v>
      </c>
      <c r="I56" s="227" t="str">
        <f>INDEX(Trends!$D$3:$D$404,MATCH(B56,Trends!$C$3:$C$404,0))</f>
        <v>Decreasing</v>
      </c>
      <c r="J56" s="226" t="str">
        <f>VLOOKUP($B56,Reliability!$A$3:$I$300,9,FALSE)</f>
        <v>High</v>
      </c>
      <c r="K56" s="226">
        <f t="shared" si="6"/>
        <v>8.7683006993957608</v>
      </c>
      <c r="L56" s="226">
        <f>VLOOKUP($B56,'Impact of the crisis'!$C$6:$N$300,12,FALSE)</f>
        <v>6.9342173348698131</v>
      </c>
      <c r="M56" s="226">
        <f>VLOOKUP($B56,'Impact of the crisis'!$C$6:$AB$300,26,FALSE)</f>
        <v>9.3565075649831044</v>
      </c>
      <c r="N56" s="226">
        <f>VLOOKUP($B56,'Conditions of people affected'!$C$6:$R$300,16,FALSE)</f>
        <v>8.0264190461267049</v>
      </c>
      <c r="O56" s="226">
        <f>VLOOKUP($B56,'Conditions of people affected'!$C$6:$R$300,9,FALSE)</f>
        <v>8.529028568443886</v>
      </c>
      <c r="P56" s="226">
        <f>VLOOKUP($B56,'Conditions of people affected'!$C$6:$R$300,15,FALSE)</f>
        <v>7.5238095238095237</v>
      </c>
      <c r="Q56" s="226">
        <f t="shared" si="7"/>
        <v>8.7927018693138574</v>
      </c>
      <c r="R56" s="226">
        <f>VLOOKUP($B56,'Complexity of the crisis'!$C$6:$AN$300,22,FALSE)</f>
        <v>6.273591839905289</v>
      </c>
      <c r="S56" s="228">
        <f>VLOOKUP($B56,'Complexity of the crisis'!$C$6:$AN$300,38,FALSE)</f>
        <v>10</v>
      </c>
      <c r="T56" s="136" t="str">
        <f>VLOOKUP(B56,Lists!$C$3:$E$300,3,FALSE)</f>
        <v>Middle east</v>
      </c>
      <c r="U56" s="144">
        <f>VLOOKUP(B56,'INFORM Severity - hidden'!$C$5:$V$300,20,FALSE)</f>
        <v>46265</v>
      </c>
    </row>
    <row r="57" spans="1:21" x14ac:dyDescent="0.35">
      <c r="A57" s="132" t="str">
        <f t="array" ref="A57">IFERROR(INDEX(Lists!$B$2:$B$200,SMALL(IF(Lists!$H$2:$H$200="Yes",ROW(Lists!$B$2:$B$200)),ROW(53:53))-1,1),"")</f>
        <v>Complex crisis in Sudan</v>
      </c>
      <c r="B57" s="133" t="str">
        <f>VLOOKUP(A57,Lists!$B$2:$G$200,2,FALSE)</f>
        <v>SDN001</v>
      </c>
      <c r="C57" s="133" t="str">
        <f>VLOOKUP(B57,'INFORM Severity - hidden'!$C$5:$D$200,2,FALSE)</f>
        <v>Sudan</v>
      </c>
      <c r="D57" s="133" t="str">
        <f>VLOOKUP(A57,Lists!$B$2:$G$200,3,FALSE)</f>
        <v>SDN</v>
      </c>
      <c r="E57" s="133" t="str">
        <f>VLOOKUP(A57,Lists!$B$2:$G$200,5,FALSE)</f>
        <v>International Displacement,Conflict/ Violence,Political/economic crisis</v>
      </c>
      <c r="F57" s="225">
        <f t="shared" si="4"/>
        <v>9.5</v>
      </c>
      <c r="G57" s="234">
        <f t="array" ref="G57">_xlfn.IFS(F57="x", "x", F57&lt;=2, 1, F57&lt;=4, 2, F57&lt;=6, 3, F57&lt;=8, 4, F57&lt;=10, 5)</f>
        <v>5</v>
      </c>
      <c r="H57" s="226" t="str">
        <f t="shared" si="5"/>
        <v>Very High</v>
      </c>
      <c r="I57" s="227" t="str">
        <f>INDEX(Trends!$D$3:$D$404,MATCH(B57,Trends!$C$3:$C$404,0))</f>
        <v>Decreasing</v>
      </c>
      <c r="J57" s="226" t="str">
        <f>VLOOKUP($B57,Reliability!$A$3:$I$300,9,FALSE)</f>
        <v>High</v>
      </c>
      <c r="K57" s="226">
        <f t="shared" si="6"/>
        <v>9.914476793333435</v>
      </c>
      <c r="L57" s="226">
        <f>VLOOKUP($B57,'Impact of the crisis'!$C$6:$N$300,12,FALSE)</f>
        <v>9.963306102169712</v>
      </c>
      <c r="M57" s="226">
        <f>VLOOKUP($B57,'Impact of the crisis'!$C$6:$AB$300,26,FALSE)</f>
        <v>9.8892885993563304</v>
      </c>
      <c r="N57" s="226">
        <f>VLOOKUP($B57,'Conditions of people affected'!$C$6:$R$300,16,FALSE)</f>
        <v>9.6541586073500962</v>
      </c>
      <c r="O57" s="226">
        <f>VLOOKUP($B57,'Conditions of people affected'!$C$6:$R$300,9,FALSE)</f>
        <v>10</v>
      </c>
      <c r="P57" s="226">
        <f>VLOOKUP($B57,'Conditions of people affected'!$C$6:$R$300,15,FALSE)</f>
        <v>9.3083172147001925</v>
      </c>
      <c r="Q57" s="226">
        <f t="shared" si="7"/>
        <v>9.0327372045543282</v>
      </c>
      <c r="R57" s="226">
        <f>VLOOKUP($B57,'Complexity of the crisis'!$C$6:$AN$300,22,FALSE)</f>
        <v>8.4299564311728403</v>
      </c>
      <c r="S57" s="228">
        <f>VLOOKUP($B57,'Complexity of the crisis'!$C$6:$AN$300,38,FALSE)</f>
        <v>9.5</v>
      </c>
      <c r="T57" s="136" t="str">
        <f>VLOOKUP(B57,Lists!$C$3:$E$300,3,FALSE)</f>
        <v>Africa</v>
      </c>
      <c r="U57" s="144">
        <f>VLOOKUP(B57,'INFORM Severity - hidden'!$C$5:$V$300,20,FALSE)</f>
        <v>46265</v>
      </c>
    </row>
    <row r="58" spans="1:21" x14ac:dyDescent="0.35">
      <c r="A58" s="132" t="str">
        <f t="array" ref="A58">IFERROR(INDEX(Lists!$B$2:$B$200,SMALL(IF(Lists!$H$2:$H$200="Yes",ROW(Lists!$B$2:$B$200)),ROW(54:54))-1,1),"")</f>
        <v>Political and Economic crisis in El Salvador</v>
      </c>
      <c r="B58" s="133" t="str">
        <f>VLOOKUP(A58,Lists!$B$2:$G$200,2,FALSE)</f>
        <v>SLV001</v>
      </c>
      <c r="C58" s="133" t="str">
        <f>VLOOKUP(B58,'INFORM Severity - hidden'!$C$5:$D$200,2,FALSE)</f>
        <v>El Salvador</v>
      </c>
      <c r="D58" s="133" t="str">
        <f>VLOOKUP(A58,Lists!$B$2:$G$200,3,FALSE)</f>
        <v>SLV</v>
      </c>
      <c r="E58" s="133" t="str">
        <f>VLOOKUP(A58,Lists!$B$2:$G$200,5,FALSE)</f>
        <v>Political/economic crisis</v>
      </c>
      <c r="F58" s="225">
        <f t="shared" si="4"/>
        <v>5.8</v>
      </c>
      <c r="G58" s="234">
        <f t="array" ref="G58">_xlfn.IFS(F58="x", "x", F58&lt;=2, 1, F58&lt;=4, 2, F58&lt;=6, 3, F58&lt;=8, 4, F58&lt;=10, 5)</f>
        <v>3</v>
      </c>
      <c r="H58" s="226" t="str">
        <f t="shared" si="5"/>
        <v>Medium</v>
      </c>
      <c r="I58" s="227" t="str">
        <f>INDEX(Trends!$D$3:$D$404,MATCH(B58,Trends!$C$3:$C$404,0))</f>
        <v>Increasing</v>
      </c>
      <c r="J58" s="226" t="str">
        <f>VLOOKUP($B58,Reliability!$A$3:$I$300,9,FALSE)</f>
        <v>High</v>
      </c>
      <c r="K58" s="226">
        <f t="shared" si="6"/>
        <v>6.7822858143249318</v>
      </c>
      <c r="L58" s="226">
        <f>VLOOKUP($B58,'Impact of the crisis'!$C$6:$N$300,12,FALSE)</f>
        <v>7.4489207910572706</v>
      </c>
      <c r="M58" s="226">
        <f>VLOOKUP($B58,'Impact of the crisis'!$C$6:$AB$300,26,FALSE)</f>
        <v>6.4047566504048365</v>
      </c>
      <c r="N58" s="226">
        <f>VLOOKUP($B58,'Conditions of people affected'!$C$6:$R$300,16,FALSE)</f>
        <v>6.1888065029340309</v>
      </c>
      <c r="O58" s="226">
        <f>VLOOKUP($B58,'Conditions of people affected'!$C$6:$R$300,9,FALSE)</f>
        <v>6.3776130058680609</v>
      </c>
      <c r="P58" s="226">
        <f>VLOOKUP($B58,'Conditions of people affected'!$C$6:$R$300,15,FALSE)</f>
        <v>6.0000000000000009</v>
      </c>
      <c r="Q58" s="226">
        <f t="shared" si="7"/>
        <v>4.3047890993428624</v>
      </c>
      <c r="R58" s="226">
        <f>VLOOKUP($B58,'Complexity of the crisis'!$C$6:$AN$300,22,FALSE)</f>
        <v>4.5965146431278496</v>
      </c>
      <c r="S58" s="228">
        <f>VLOOKUP($B58,'Complexity of the crisis'!$C$6:$AN$300,38,FALSE)</f>
        <v>4</v>
      </c>
      <c r="T58" s="136" t="str">
        <f>VLOOKUP(B58,Lists!$C$3:$E$300,3,FALSE)</f>
        <v>Americas</v>
      </c>
      <c r="U58" s="144">
        <f>VLOOKUP(B58,'INFORM Severity - hidden'!$C$5:$V$300,20,FALSE)</f>
        <v>46081</v>
      </c>
    </row>
    <row r="59" spans="1:21" x14ac:dyDescent="0.35">
      <c r="A59" s="132" t="str">
        <f t="array" ref="A59">IFERROR(INDEX(Lists!$B$2:$B$200,SMALL(IF(Lists!$H$2:$H$200="Yes",ROW(Lists!$B$2:$B$200)),ROW(55:55))-1,1),"")</f>
        <v>Complex crisis in Somalia</v>
      </c>
      <c r="B59" s="133" t="str">
        <f>VLOOKUP(A59,Lists!$B$2:$G$200,2,FALSE)</f>
        <v>SOM001</v>
      </c>
      <c r="C59" s="133" t="str">
        <f>VLOOKUP(B59,'INFORM Severity - hidden'!$C$5:$D$200,2,FALSE)</f>
        <v>Somalia</v>
      </c>
      <c r="D59" s="133" t="str">
        <f>VLOOKUP(A59,Lists!$B$2:$G$200,3,FALSE)</f>
        <v>SOM</v>
      </c>
      <c r="E59" s="133" t="str">
        <f>VLOOKUP(A59,Lists!$B$2:$G$200,5,FALSE)</f>
        <v>Conflict/ Violence,International Displacement,Floods,Drought/drier conditions</v>
      </c>
      <c r="F59" s="225">
        <f t="shared" si="4"/>
        <v>8.8000000000000007</v>
      </c>
      <c r="G59" s="234">
        <f t="array" ref="G59">_xlfn.IFS(F59="x", "x", F59&lt;=2, 1, F59&lt;=4, 2, F59&lt;=6, 3, F59&lt;=8, 4, F59&lt;=10, 5)</f>
        <v>5</v>
      </c>
      <c r="H59" s="226" t="str">
        <f t="shared" si="5"/>
        <v>Very High</v>
      </c>
      <c r="I59" s="227" t="str">
        <f>INDEX(Trends!$D$3:$D$404,MATCH(B59,Trends!$C$3:$C$404,0))</f>
        <v>Stable</v>
      </c>
      <c r="J59" s="226" t="str">
        <f>VLOOKUP($B59,Reliability!$A$3:$I$300,9,FALSE)</f>
        <v>Very High</v>
      </c>
      <c r="K59" s="226">
        <f t="shared" si="6"/>
        <v>9.3196903261699724</v>
      </c>
      <c r="L59" s="226">
        <f>VLOOKUP($B59,'Impact of the crisis'!$C$6:$N$300,12,FALSE)</f>
        <v>9.4894865251706726</v>
      </c>
      <c r="M59" s="226">
        <f>VLOOKUP($B59,'Impact of the crisis'!$C$6:$AB$300,26,FALSE)</f>
        <v>9.2282371342714189</v>
      </c>
      <c r="N59" s="226">
        <f>VLOOKUP($B59,'Conditions of people affected'!$C$6:$R$300,16,FALSE)</f>
        <v>8.6338621869002523</v>
      </c>
      <c r="O59" s="226">
        <f>VLOOKUP($B59,'Conditions of people affected'!$C$6:$R$300,9,FALSE)</f>
        <v>9.2677243738005046</v>
      </c>
      <c r="P59" s="226">
        <f>VLOOKUP($B59,'Conditions of people affected'!$C$6:$R$300,15,FALSE)</f>
        <v>8</v>
      </c>
      <c r="Q59" s="226">
        <f t="shared" si="7"/>
        <v>8.6597540631942351</v>
      </c>
      <c r="R59" s="226">
        <f>VLOOKUP($B59,'Complexity of the crisis'!$C$6:$AN$300,22,FALSE)</f>
        <v>7.3812930154320986</v>
      </c>
      <c r="S59" s="228">
        <f>VLOOKUP($B59,'Complexity of the crisis'!$C$6:$AN$300,38,FALSE)</f>
        <v>9.5</v>
      </c>
      <c r="T59" s="136" t="str">
        <f>VLOOKUP(B59,Lists!$C$3:$E$300,3,FALSE)</f>
        <v>Africa</v>
      </c>
      <c r="U59" s="144">
        <f>VLOOKUP(B59,'INFORM Severity - hidden'!$C$5:$V$300,20,FALSE)</f>
        <v>46265</v>
      </c>
    </row>
    <row r="60" spans="1:21" x14ac:dyDescent="0.35">
      <c r="A60" s="132" t="str">
        <f t="array" ref="A60">IFERROR(INDEX(Lists!$B$2:$B$200,SMALL(IF(Lists!$H$2:$H$200="Yes",ROW(Lists!$B$2:$B$200)),ROW(56:56))-1,1),"")</f>
        <v>Complex crisis in South Sudan</v>
      </c>
      <c r="B60" s="133" t="str">
        <f>VLOOKUP(A60,Lists!$B$2:$G$200,2,FALSE)</f>
        <v>SSD001</v>
      </c>
      <c r="C60" s="133" t="str">
        <f>VLOOKUP(B60,'INFORM Severity - hidden'!$C$5:$D$200,2,FALSE)</f>
        <v>South Sudan</v>
      </c>
      <c r="D60" s="133" t="str">
        <f>VLOOKUP(A60,Lists!$B$2:$G$200,3,FALSE)</f>
        <v>SSD</v>
      </c>
      <c r="E60" s="133" t="str">
        <f>VLOOKUP(A60,Lists!$B$2:$G$200,5,FALSE)</f>
        <v>Conflict/ Violence,Floods,Political/economic crisis,International Displacement</v>
      </c>
      <c r="F60" s="225">
        <f t="shared" si="4"/>
        <v>9.5</v>
      </c>
      <c r="G60" s="234">
        <f t="array" ref="G60">_xlfn.IFS(F60="x", "x", F60&lt;=2, 1, F60&lt;=4, 2, F60&lt;=6, 3, F60&lt;=8, 4, F60&lt;=10, 5)</f>
        <v>5</v>
      </c>
      <c r="H60" s="226" t="str">
        <f t="shared" si="5"/>
        <v>Very High</v>
      </c>
      <c r="I60" s="227" t="str">
        <f>INDEX(Trends!$D$3:$D$404,MATCH(B60,Trends!$C$3:$C$404,0))</f>
        <v>Increasing</v>
      </c>
      <c r="J60" s="226" t="str">
        <f>VLOOKUP($B60,Reliability!$A$3:$I$300,9,FALSE)</f>
        <v>High</v>
      </c>
      <c r="K60" s="226">
        <f t="shared" si="6"/>
        <v>9.2981979772510428</v>
      </c>
      <c r="L60" s="226">
        <f>VLOOKUP($B60,'Impact of the crisis'!$C$6:$N$300,12,FALSE)</f>
        <v>9.3090703057601161</v>
      </c>
      <c r="M60" s="226">
        <f>VLOOKUP($B60,'Impact of the crisis'!$C$6:$AB$300,26,FALSE)</f>
        <v>9.2927372389974252</v>
      </c>
      <c r="N60" s="226">
        <f>VLOOKUP($B60,'Conditions of people affected'!$C$6:$R$300,16,FALSE)</f>
        <v>9.7811021556133451</v>
      </c>
      <c r="O60" s="226">
        <f>VLOOKUP($B60,'Conditions of people affected'!$C$6:$R$300,9,FALSE)</f>
        <v>9.9872043112266908</v>
      </c>
      <c r="P60" s="226">
        <f>VLOOKUP($B60,'Conditions of people affected'!$C$6:$R$300,15,FALSE)</f>
        <v>9.5749999999999993</v>
      </c>
      <c r="Q60" s="226">
        <f t="shared" si="7"/>
        <v>9.2285345672602226</v>
      </c>
      <c r="R60" s="226">
        <f>VLOOKUP($B60,'Complexity of the crisis'!$C$6:$AN$300,22,FALSE)</f>
        <v>7.9214261119993123</v>
      </c>
      <c r="S60" s="228">
        <f>VLOOKUP($B60,'Complexity of the crisis'!$C$6:$AN$300,38,FALSE)</f>
        <v>10</v>
      </c>
      <c r="T60" s="136" t="str">
        <f>VLOOKUP(B60,Lists!$C$3:$E$300,3,FALSE)</f>
        <v>Africa</v>
      </c>
      <c r="U60" s="144">
        <f>VLOOKUP(B60,'INFORM Severity - hidden'!$C$5:$V$300,20,FALSE)</f>
        <v>46234</v>
      </c>
    </row>
    <row r="61" spans="1:21" x14ac:dyDescent="0.35">
      <c r="A61" s="132" t="str">
        <f t="array" ref="A61">IFERROR(INDEX(Lists!$B$2:$B$200,SMALL(IF(Lists!$H$2:$H$200="Yes",ROW(Lists!$B$2:$B$200)),ROW(57:57))-1,1),"")</f>
        <v>Drought in Eswatini</v>
      </c>
      <c r="B61" s="133" t="str">
        <f>VLOOKUP(A61,Lists!$B$2:$G$200,2,FALSE)</f>
        <v>SWZ001</v>
      </c>
      <c r="C61" s="133" t="str">
        <f>VLOOKUP(B61,'INFORM Severity - hidden'!$C$5:$D$200,2,FALSE)</f>
        <v>Eswatini</v>
      </c>
      <c r="D61" s="133" t="str">
        <f>VLOOKUP(A61,Lists!$B$2:$G$200,3,FALSE)</f>
        <v>SWZ</v>
      </c>
      <c r="E61" s="133" t="str">
        <f>VLOOKUP(A61,Lists!$B$2:$G$200,5,FALSE)</f>
        <v>Drought/drier conditions</v>
      </c>
      <c r="F61" s="225">
        <f t="shared" si="4"/>
        <v>5.2</v>
      </c>
      <c r="G61" s="234">
        <f t="array" ref="G61">_xlfn.IFS(F61="x", "x", F61&lt;=2, 1, F61&lt;=4, 2, F61&lt;=6, 3, F61&lt;=8, 4, F61&lt;=10, 5)</f>
        <v>3</v>
      </c>
      <c r="H61" s="226" t="str">
        <f t="shared" si="5"/>
        <v>Medium</v>
      </c>
      <c r="I61" s="227" t="str">
        <f>INDEX(Trends!$D$3:$D$404,MATCH(B61,Trends!$C$3:$C$404,0))</f>
        <v>Increasing</v>
      </c>
      <c r="J61" s="226" t="str">
        <f>VLOOKUP($B61,Reliability!$A$3:$I$300,9,FALSE)</f>
        <v>High</v>
      </c>
      <c r="K61" s="226">
        <f t="shared" si="6"/>
        <v>5.4170874279828016</v>
      </c>
      <c r="L61" s="226">
        <f>VLOOKUP($B61,'Impact of the crisis'!$C$6:$N$300,12,FALSE)</f>
        <v>6.2656088544815791</v>
      </c>
      <c r="M61" s="226">
        <f>VLOOKUP($B61,'Impact of the crisis'!$C$6:$AB$300,26,FALSE)</f>
        <v>4.9386337792753485</v>
      </c>
      <c r="N61" s="226">
        <f>VLOOKUP($B61,'Conditions of people affected'!$C$6:$R$300,16,FALSE)</f>
        <v>5.2439216240843987</v>
      </c>
      <c r="O61" s="226">
        <f>VLOOKUP($B61,'Conditions of people affected'!$C$6:$R$300,9,FALSE)</f>
        <v>4.4878432481687955</v>
      </c>
      <c r="P61" s="226">
        <f>VLOOKUP($B61,'Conditions of people affected'!$C$6:$R$300,15,FALSE)</f>
        <v>6.0000000000000009</v>
      </c>
      <c r="Q61" s="226">
        <f t="shared" si="7"/>
        <v>4.9441701698632139</v>
      </c>
      <c r="R61" s="226">
        <f>VLOOKUP($B61,'Complexity of the crisis'!$C$6:$AN$300,22,FALSE)</f>
        <v>5.7629791555555556</v>
      </c>
      <c r="S61" s="228">
        <f>VLOOKUP($B61,'Complexity of the crisis'!$C$6:$AN$300,38,FALSE)</f>
        <v>4</v>
      </c>
      <c r="T61" s="136" t="str">
        <f>VLOOKUP(B61,Lists!$C$3:$E$300,3,FALSE)</f>
        <v>Africa</v>
      </c>
      <c r="U61" s="144">
        <f>VLOOKUP(B61,'INFORM Severity - hidden'!$C$5:$V$300,20,FALSE)</f>
        <v>46259</v>
      </c>
    </row>
    <row r="62" spans="1:21" x14ac:dyDescent="0.35">
      <c r="A62" s="132" t="str">
        <f t="array" ref="A62">IFERROR(INDEX(Lists!$B$2:$B$200,SMALL(IF(Lists!$H$2:$H$200="Yes",ROW(Lists!$B$2:$B$200)),ROW(58:58))-1,1),"")</f>
        <v>Complex crisis in Syria</v>
      </c>
      <c r="B62" s="133" t="str">
        <f>VLOOKUP(A62,Lists!$B$2:$G$200,2,FALSE)</f>
        <v>SYR003</v>
      </c>
      <c r="C62" s="133" t="str">
        <f>VLOOKUP(B62,'INFORM Severity - hidden'!$C$5:$D$200,2,FALSE)</f>
        <v>Syria</v>
      </c>
      <c r="D62" s="133" t="str">
        <f>VLOOKUP(A62,Lists!$B$2:$G$200,3,FALSE)</f>
        <v>SYR</v>
      </c>
      <c r="E62" s="133" t="str">
        <f>VLOOKUP(A62,Lists!$B$2:$G$200,5,FALSE)</f>
        <v>Conflict/ Violence,Political/economic crisis,Drought/drier conditions</v>
      </c>
      <c r="F62" s="225">
        <f t="shared" si="4"/>
        <v>8.9</v>
      </c>
      <c r="G62" s="234">
        <f t="array" ref="G62">_xlfn.IFS(F62="x", "x", F62&lt;=2, 1, F62&lt;=4, 2, F62&lt;=6, 3, F62&lt;=8, 4, F62&lt;=10, 5)</f>
        <v>5</v>
      </c>
      <c r="H62" s="226" t="str">
        <f t="shared" si="5"/>
        <v>Very High</v>
      </c>
      <c r="I62" s="227" t="str">
        <f>INDEX(Trends!$D$3:$D$404,MATCH(B62,Trends!$C$3:$C$404,0))</f>
        <v>Decreasing</v>
      </c>
      <c r="J62" s="226" t="str">
        <f>VLOOKUP($B62,Reliability!$A$3:$I$300,9,FALSE)</f>
        <v>Very High</v>
      </c>
      <c r="K62" s="226">
        <f t="shared" si="6"/>
        <v>9.3589287669808439</v>
      </c>
      <c r="L62" s="226">
        <f>VLOOKUP($B62,'Impact of the crisis'!$C$6:$N$300,12,FALSE)</f>
        <v>9.3309260859248386</v>
      </c>
      <c r="M62" s="226">
        <f>VLOOKUP($B62,'Impact of the crisis'!$C$6:$AB$300,26,FALSE)</f>
        <v>9.3727644888724786</v>
      </c>
      <c r="N62" s="226">
        <f>VLOOKUP($B62,'Conditions of people affected'!$C$6:$R$300,16,FALSE)</f>
        <v>9</v>
      </c>
      <c r="O62" s="226">
        <f>VLOOKUP($B62,'Conditions of people affected'!$C$6:$R$300,9,FALSE)</f>
        <v>10</v>
      </c>
      <c r="P62" s="226">
        <f>VLOOKUP($B62,'Conditions of people affected'!$C$6:$R$300,15,FALSE)</f>
        <v>8</v>
      </c>
      <c r="Q62" s="226">
        <f t="shared" si="7"/>
        <v>8.3525616093374033</v>
      </c>
      <c r="R62" s="226">
        <f>VLOOKUP($B62,'Complexity of the crisis'!$C$6:$AN$300,22,FALSE)</f>
        <v>7.5065659435519665</v>
      </c>
      <c r="S62" s="228">
        <f>VLOOKUP($B62,'Complexity of the crisis'!$C$6:$AN$300,38,FALSE)</f>
        <v>9</v>
      </c>
      <c r="T62" s="136" t="str">
        <f>VLOOKUP(B62,Lists!$C$3:$E$300,3,FALSE)</f>
        <v>Middle east</v>
      </c>
      <c r="U62" s="144">
        <f>VLOOKUP(B62,'INFORM Severity - hidden'!$C$5:$V$300,20,FALSE)</f>
        <v>46265</v>
      </c>
    </row>
    <row r="63" spans="1:21" x14ac:dyDescent="0.35">
      <c r="A63" s="132" t="str">
        <f t="array" ref="A63">IFERROR(INDEX(Lists!$B$2:$B$200,SMALL(IF(Lists!$H$2:$H$200="Yes",ROW(Lists!$B$2:$B$200)),ROW(59:59))-1,1),"")</f>
        <v>Complex crisis in Chad</v>
      </c>
      <c r="B63" s="133" t="str">
        <f>VLOOKUP(A63,Lists!$B$2:$G$200,2,FALSE)</f>
        <v>TCD001</v>
      </c>
      <c r="C63" s="133" t="str">
        <f>VLOOKUP(B63,'INFORM Severity - hidden'!$C$5:$D$200,2,FALSE)</f>
        <v>Chad</v>
      </c>
      <c r="D63" s="133" t="str">
        <f>VLOOKUP(A63,Lists!$B$2:$G$200,3,FALSE)</f>
        <v>TCD</v>
      </c>
      <c r="E63" s="133" t="str">
        <f>VLOOKUP(A63,Lists!$B$2:$G$200,5,FALSE)</f>
        <v>Conflict/ Violence,Floods</v>
      </c>
      <c r="F63" s="225">
        <f t="shared" si="4"/>
        <v>8.4</v>
      </c>
      <c r="G63" s="234">
        <f t="array" ref="G63">_xlfn.IFS(F63="x", "x", F63&lt;=2, 1, F63&lt;=4, 2, F63&lt;=6, 3, F63&lt;=8, 4, F63&lt;=10, 5)</f>
        <v>5</v>
      </c>
      <c r="H63" s="226" t="str">
        <f t="shared" si="5"/>
        <v>Very High</v>
      </c>
      <c r="I63" s="227" t="str">
        <f>INDEX(Trends!$D$3:$D$404,MATCH(B63,Trends!$C$3:$C$404,0))</f>
        <v>Increasing</v>
      </c>
      <c r="J63" s="226" t="str">
        <f>VLOOKUP($B63,Reliability!$A$3:$I$300,9,FALSE)</f>
        <v>Very High</v>
      </c>
      <c r="K63" s="226">
        <f t="shared" si="6"/>
        <v>9.1001126784016346</v>
      </c>
      <c r="L63" s="226">
        <f>VLOOKUP($B63,'Impact of the crisis'!$C$6:$N$300,12,FALSE)</f>
        <v>9.7423986441925869</v>
      </c>
      <c r="M63" s="226">
        <f>VLOOKUP($B63,'Impact of the crisis'!$C$6:$AB$300,26,FALSE)</f>
        <v>8.6735164687815445</v>
      </c>
      <c r="N63" s="226">
        <f>VLOOKUP($B63,'Conditions of people affected'!$C$6:$R$300,16,FALSE)</f>
        <v>8.4708434765650189</v>
      </c>
      <c r="O63" s="226">
        <f>VLOOKUP($B63,'Conditions of people affected'!$C$6:$R$300,9,FALSE)</f>
        <v>8.9416869531300378</v>
      </c>
      <c r="P63" s="226">
        <f>VLOOKUP($B63,'Conditions of people affected'!$C$6:$R$300,15,FALSE)</f>
        <v>8</v>
      </c>
      <c r="Q63" s="226">
        <f t="shared" si="7"/>
        <v>7.6441018602344233</v>
      </c>
      <c r="R63" s="226">
        <f>VLOOKUP($B63,'Complexity of the crisis'!$C$6:$AN$300,22,FALSE)</f>
        <v>7.2474904571475136</v>
      </c>
      <c r="S63" s="228">
        <f>VLOOKUP($B63,'Complexity of the crisis'!$C$6:$AN$300,38,FALSE)</f>
        <v>8</v>
      </c>
      <c r="T63" s="136" t="str">
        <f>VLOOKUP(B63,Lists!$C$3:$E$300,3,FALSE)</f>
        <v>Africa</v>
      </c>
      <c r="U63" s="144">
        <f>VLOOKUP(B63,'INFORM Severity - hidden'!$C$5:$V$300,20,FALSE)</f>
        <v>46260</v>
      </c>
    </row>
    <row r="64" spans="1:21" x14ac:dyDescent="0.35">
      <c r="A64" s="132" t="str">
        <f t="array" ref="A64">IFERROR(INDEX(Lists!$B$2:$B$200,SMALL(IF(Lists!$H$2:$H$200="Yes",ROW(Lists!$B$2:$B$200)),ROW(60:60))-1,1),"")</f>
        <v>Conflict in Savanes region</v>
      </c>
      <c r="B64" s="133" t="str">
        <f>VLOOKUP(A64,Lists!$B$2:$G$200,2,FALSE)</f>
        <v>TGO002</v>
      </c>
      <c r="C64" s="133" t="str">
        <f>VLOOKUP(B64,'INFORM Severity - hidden'!$C$5:$D$200,2,FALSE)</f>
        <v>Togo</v>
      </c>
      <c r="D64" s="133" t="str">
        <f>VLOOKUP(A64,Lists!$B$2:$G$200,3,FALSE)</f>
        <v>TGO</v>
      </c>
      <c r="E64" s="133" t="str">
        <f>VLOOKUP(A64,Lists!$B$2:$G$200,5,FALSE)</f>
        <v>Conflict/ Violence</v>
      </c>
      <c r="F64" s="225">
        <f t="shared" si="4"/>
        <v>4.5999999999999996</v>
      </c>
      <c r="G64" s="234">
        <f t="array" ref="G64">_xlfn.IFS(F64="x", "x", F64&lt;=2, 1, F64&lt;=4, 2, F64&lt;=6, 3, F64&lt;=8, 4, F64&lt;=10, 5)</f>
        <v>3</v>
      </c>
      <c r="H64" s="226" t="str">
        <f t="shared" si="5"/>
        <v>Medium</v>
      </c>
      <c r="I64" s="227" t="str">
        <f>INDEX(Trends!$D$3:$D$404,MATCH(B64,Trends!$C$3:$C$404,0))</f>
        <v>Increasing</v>
      </c>
      <c r="J64" s="226" t="str">
        <f>VLOOKUP($B64,Reliability!$A$3:$I$300,9,FALSE)</f>
        <v>High</v>
      </c>
      <c r="K64" s="226">
        <f t="shared" si="6"/>
        <v>2.9612179246399242</v>
      </c>
      <c r="L64" s="226">
        <f>VLOOKUP($B64,'Impact of the crisis'!$C$6:$N$300,12,FALSE)</f>
        <v>1.607014863050876</v>
      </c>
      <c r="M64" s="226">
        <f>VLOOKUP($B64,'Impact of the crisis'!$C$6:$AB$300,26,FALSE)</f>
        <v>3.5641439127466472</v>
      </c>
      <c r="N64" s="226">
        <f>VLOOKUP($B64,'Conditions of people affected'!$C$6:$R$300,16,FALSE)</f>
        <v>4.9204805739717621</v>
      </c>
      <c r="O64" s="226">
        <f>VLOOKUP($B64,'Conditions of people affected'!$C$6:$R$300,9,FALSE)</f>
        <v>3.8409611479435224</v>
      </c>
      <c r="P64" s="226">
        <f>VLOOKUP($B64,'Conditions of people affected'!$C$6:$R$300,15,FALSE)</f>
        <v>6.0000000000000009</v>
      </c>
      <c r="Q64" s="226">
        <f t="shared" si="7"/>
        <v>5.3092169606692572</v>
      </c>
      <c r="R64" s="226">
        <f>VLOOKUP($B64,'Complexity of the crisis'!$C$6:$AN$300,22,FALSE)</f>
        <v>5.602787809358702</v>
      </c>
      <c r="S64" s="228">
        <f>VLOOKUP($B64,'Complexity of the crisis'!$C$6:$AN$300,38,FALSE)</f>
        <v>5</v>
      </c>
      <c r="T64" s="136" t="str">
        <f>VLOOKUP(B64,Lists!$C$3:$E$300,3,FALSE)</f>
        <v>Africa</v>
      </c>
      <c r="U64" s="144">
        <f>VLOOKUP(B64,'INFORM Severity - hidden'!$C$5:$V$300,20,FALSE)</f>
        <v>46260</v>
      </c>
    </row>
    <row r="65" spans="1:21" x14ac:dyDescent="0.35">
      <c r="A65" s="132" t="str">
        <f t="array" ref="A65">IFERROR(INDEX(Lists!$B$2:$B$200,SMALL(IF(Lists!$H$2:$H$200="Yes",ROW(Lists!$B$2:$B$200)),ROW(61:61))-1,1),"")</f>
        <v>Displacement from Myanmar to Thailand</v>
      </c>
      <c r="B65" s="133" t="str">
        <f>VLOOKUP(A65,Lists!$B$2:$G$200,2,FALSE)</f>
        <v>THA003</v>
      </c>
      <c r="C65" s="133" t="str">
        <f>VLOOKUP(B65,'INFORM Severity - hidden'!$C$5:$D$200,2,FALSE)</f>
        <v>Thailand</v>
      </c>
      <c r="D65" s="133" t="str">
        <f>VLOOKUP(A65,Lists!$B$2:$G$200,3,FALSE)</f>
        <v>THA</v>
      </c>
      <c r="E65" s="133" t="str">
        <f>VLOOKUP(A65,Lists!$B$2:$G$200,5,FALSE)</f>
        <v>International Displacement</v>
      </c>
      <c r="F65" s="225">
        <f t="shared" si="4"/>
        <v>4.4000000000000004</v>
      </c>
      <c r="G65" s="234">
        <f t="array" ref="G65">_xlfn.IFS(F65="x", "x", F65&lt;=2, 1, F65&lt;=4, 2, F65&lt;=6, 3, F65&lt;=8, 4, F65&lt;=10, 5)</f>
        <v>3</v>
      </c>
      <c r="H65" s="226" t="str">
        <f t="shared" si="5"/>
        <v>Medium</v>
      </c>
      <c r="I65" s="227" t="str">
        <f>INDEX(Trends!$D$3:$D$404,MATCH(B65,Trends!$C$3:$C$404,0))</f>
        <v>Increasing</v>
      </c>
      <c r="J65" s="226" t="str">
        <f>VLOOKUP($B65,Reliability!$A$3:$I$300,9,FALSE)</f>
        <v>Very High</v>
      </c>
      <c r="K65" s="226">
        <f t="shared" si="6"/>
        <v>3.1478170468126954</v>
      </c>
      <c r="L65" s="226">
        <f>VLOOKUP($B65,'Impact of the crisis'!$C$6:$N$300,12,FALSE)</f>
        <v>0.94918088796618283</v>
      </c>
      <c r="M65" s="226">
        <f>VLOOKUP($B65,'Impact of the crisis'!$C$6:$AB$300,26,FALSE)</f>
        <v>4.0617294256329215</v>
      </c>
      <c r="N65" s="226">
        <f>VLOOKUP($B65,'Conditions of people affected'!$C$6:$R$300,16,FALSE)</f>
        <v>4.894534278594012</v>
      </c>
      <c r="O65" s="226">
        <f>VLOOKUP($B65,'Conditions of people affected'!$C$6:$R$300,9,FALSE)</f>
        <v>3.7890685571880223</v>
      </c>
      <c r="P65" s="226">
        <f>VLOOKUP($B65,'Conditions of people affected'!$C$6:$R$300,15,FALSE)</f>
        <v>6.0000000000000009</v>
      </c>
      <c r="Q65" s="226">
        <f t="shared" si="7"/>
        <v>4.3396618568572238</v>
      </c>
      <c r="R65" s="226">
        <f>VLOOKUP($B65,'Complexity of the crisis'!$C$6:$AN$300,22,FALSE)</f>
        <v>4.1754350602469135</v>
      </c>
      <c r="S65" s="228">
        <f>VLOOKUP($B65,'Complexity of the crisis'!$C$6:$AN$300,38,FALSE)</f>
        <v>4.5</v>
      </c>
      <c r="T65" s="136" t="str">
        <f>VLOOKUP(B65,Lists!$C$3:$E$300,3,FALSE)</f>
        <v>Asia</v>
      </c>
      <c r="U65" s="144">
        <f>VLOOKUP(B65,'INFORM Severity - hidden'!$C$5:$V$300,20,FALSE)</f>
        <v>46265</v>
      </c>
    </row>
    <row r="66" spans="1:21" x14ac:dyDescent="0.35">
      <c r="A66" s="132" t="str">
        <f t="array" ref="A66">IFERROR(INDEX(Lists!$B$2:$B$200,SMALL(IF(Lists!$H$2:$H$200="Yes",ROW(Lists!$B$2:$B$200)),ROW(62:62))-1,1),"")</f>
        <v>Displacement from Venezuela to Trinidad and Tobago</v>
      </c>
      <c r="B66" s="133" t="str">
        <f>VLOOKUP(A66,Lists!$B$2:$G$200,2,FALSE)</f>
        <v>TTO002</v>
      </c>
      <c r="C66" s="133" t="str">
        <f>VLOOKUP(B66,'INFORM Severity - hidden'!$C$5:$D$200,2,FALSE)</f>
        <v>Trinidad and Tobago</v>
      </c>
      <c r="D66" s="133" t="str">
        <f>VLOOKUP(A66,Lists!$B$2:$G$200,3,FALSE)</f>
        <v>TTO</v>
      </c>
      <c r="E66" s="133" t="str">
        <f>VLOOKUP(A66,Lists!$B$2:$G$200,5,FALSE)</f>
        <v>International Displacement</v>
      </c>
      <c r="F66" s="225">
        <f t="shared" si="4"/>
        <v>3.3</v>
      </c>
      <c r="G66" s="234">
        <f t="array" ref="G66">_xlfn.IFS(F66="x", "x", F66&lt;=2, 1, F66&lt;=4, 2, F66&lt;=6, 3, F66&lt;=8, 4, F66&lt;=10, 5)</f>
        <v>2</v>
      </c>
      <c r="H66" s="226" t="str">
        <f t="shared" si="5"/>
        <v>Low</v>
      </c>
      <c r="I66" s="227" t="str">
        <f>INDEX(Trends!$D$3:$D$404,MATCH(B66,Trends!$C$3:$C$404,0))</f>
        <v>Increasing</v>
      </c>
      <c r="J66" s="226" t="str">
        <f>VLOOKUP($B66,Reliability!$A$3:$I$300,9,FALSE)</f>
        <v>High</v>
      </c>
      <c r="K66" s="226">
        <f t="shared" si="6"/>
        <v>4.5810170023365524</v>
      </c>
      <c r="L66" s="226">
        <f>VLOOKUP($B66,'Impact of the crisis'!$C$6:$N$300,12,FALSE)</f>
        <v>5.89376935648969</v>
      </c>
      <c r="M66" s="226">
        <f>VLOOKUP($B66,'Impact of the crisis'!$C$6:$AB$300,26,FALSE)</f>
        <v>3.8055341955231725</v>
      </c>
      <c r="N66" s="226">
        <f>VLOOKUP($B66,'Conditions of people affected'!$C$6:$R$300,16,FALSE)</f>
        <v>2.3936854028526771</v>
      </c>
      <c r="O66" s="226">
        <f>VLOOKUP($B66,'Conditions of people affected'!$C$6:$R$300,9,FALSE)</f>
        <v>1.2673708057053545</v>
      </c>
      <c r="P66" s="226">
        <f>VLOOKUP($B66,'Conditions of people affected'!$C$6:$R$300,15,FALSE)</f>
        <v>3.5199999999999996</v>
      </c>
      <c r="Q66" s="226">
        <f t="shared" si="7"/>
        <v>3.6388933549880749</v>
      </c>
      <c r="R66" s="226">
        <f>VLOOKUP($B66,'Complexity of the crisis'!$C$6:$AN$300,22,FALSE)</f>
        <v>3.7752520782018646</v>
      </c>
      <c r="S66" s="228">
        <f>VLOOKUP($B66,'Complexity of the crisis'!$C$6:$AN$300,38,FALSE)</f>
        <v>3.5</v>
      </c>
      <c r="T66" s="136" t="str">
        <f>VLOOKUP(B66,Lists!$C$3:$E$300,3,FALSE)</f>
        <v>Americas</v>
      </c>
      <c r="U66" s="144">
        <f>VLOOKUP(B66,'INFORM Severity - hidden'!$C$5:$V$300,20,FALSE)</f>
        <v>46265</v>
      </c>
    </row>
    <row r="67" spans="1:21" x14ac:dyDescent="0.35">
      <c r="A67" s="134" t="str">
        <f t="array" ref="A67">IFERROR(INDEX(Lists!$B$2:$B$200,SMALL(IF(Lists!$H$2:$H$200="Yes",ROW(Lists!$B$2:$B$200)),ROW(63:63))-1,1),"")</f>
        <v>International displacement to Tunisia</v>
      </c>
      <c r="B67" s="135" t="str">
        <f>VLOOKUP(A67,Lists!$B$2:$G$200,2,FALSE)</f>
        <v>TUN002</v>
      </c>
      <c r="C67" s="135" t="str">
        <f>VLOOKUP(B67,'INFORM Severity - hidden'!$C$5:$D$200,2,FALSE)</f>
        <v>Tunisia</v>
      </c>
      <c r="D67" s="135" t="str">
        <f>VLOOKUP(A67,Lists!$B$2:$G$200,3,FALSE)</f>
        <v>TUN</v>
      </c>
      <c r="E67" s="135" t="str">
        <f>VLOOKUP(A67,Lists!$B$2:$G$200,5,FALSE)</f>
        <v>International Displacement</v>
      </c>
      <c r="F67" s="225">
        <f t="shared" si="4"/>
        <v>4</v>
      </c>
      <c r="G67" s="234">
        <f t="array" ref="G67">_xlfn.IFS(F67="x", "x", F67&lt;=2, 1, F67&lt;=4, 2, F67&lt;=6, 3, F67&lt;=8, 4, F67&lt;=10, 5)</f>
        <v>2</v>
      </c>
      <c r="H67" s="226" t="str">
        <f t="shared" si="5"/>
        <v>Low</v>
      </c>
      <c r="I67" s="227" t="str">
        <f>INDEX(Trends!$D$3:$D$404,MATCH(B67,Trends!$C$3:$C$404,0))</f>
        <v>Increasing</v>
      </c>
      <c r="J67" s="226" t="str">
        <f>VLOOKUP($B67,Reliability!$A$3:$I$300,9,FALSE)</f>
        <v>High</v>
      </c>
      <c r="K67" s="226">
        <f t="shared" si="6"/>
        <v>4.8984347480982722</v>
      </c>
      <c r="L67" s="226">
        <f>VLOOKUP($B67,'Impact of the crisis'!$C$6:$N$300,12,FALSE)</f>
        <v>3.2067231545468178</v>
      </c>
      <c r="M67" s="226">
        <f>VLOOKUP($B67,'Impact of the crisis'!$C$6:$AB$300,26,FALSE)</f>
        <v>5.6032374253158839</v>
      </c>
      <c r="N67" s="226">
        <f>VLOOKUP($B67,'Conditions of people affected'!$C$6:$R$300,16,FALSE)</f>
        <v>2.9693971618871018</v>
      </c>
      <c r="O67" s="226">
        <f>VLOOKUP($B67,'Conditions of people affected'!$C$6:$R$300,9,FALSE)</f>
        <v>2.6872665799462911</v>
      </c>
      <c r="P67" s="226">
        <f>VLOOKUP($B67,'Conditions of people affected'!$C$6:$R$300,15,FALSE)</f>
        <v>3.251527743827912</v>
      </c>
      <c r="Q67" s="226">
        <f t="shared" si="7"/>
        <v>4.6999309005958763</v>
      </c>
      <c r="R67" s="226">
        <f>VLOOKUP($B67,'Complexity of the crisis'!$C$6:$AN$300,22,FALSE)</f>
        <v>4.8938155611057397</v>
      </c>
      <c r="S67" s="228">
        <f>VLOOKUP($B67,'Complexity of the crisis'!$C$6:$AN$300,38,FALSE)</f>
        <v>4.5</v>
      </c>
      <c r="T67" s="136" t="str">
        <f>VLOOKUP(B67,Lists!$C$3:$E$300,3,FALSE)</f>
        <v>Africa</v>
      </c>
      <c r="U67" s="144">
        <f>VLOOKUP(B67,'INFORM Severity - hidden'!$C$5:$V$300,20,FALSE)</f>
        <v>46265</v>
      </c>
    </row>
    <row r="68" spans="1:21" x14ac:dyDescent="0.35">
      <c r="A68" s="134" t="str">
        <f t="array" ref="A68">IFERROR(INDEX(Lists!$B$2:$B$200,SMALL(IF(Lists!$H$2:$H$200="Yes",ROW(Lists!$B$2:$B$200)),ROW(64:64))-1,1),"")</f>
        <v>Multiple Crises in Türkiye</v>
      </c>
      <c r="B68" s="135" t="str">
        <f>VLOOKUP(A68,Lists!$B$2:$G$200,2,FALSE)</f>
        <v>TUR001</v>
      </c>
      <c r="C68" s="135" t="str">
        <f>VLOOKUP(B68,'INFORM Severity - hidden'!$C$5:$D$200,2,FALSE)</f>
        <v>Turkey</v>
      </c>
      <c r="D68" s="135" t="str">
        <f>VLOOKUP(A68,Lists!$B$2:$G$200,3,FALSE)</f>
        <v>TUR</v>
      </c>
      <c r="E68" s="135" t="str">
        <f>VLOOKUP(A68,Lists!$B$2:$G$200,5,FALSE)</f>
        <v>International Displacement,Earthquake</v>
      </c>
      <c r="F68" s="225">
        <f t="shared" si="4"/>
        <v>7</v>
      </c>
      <c r="G68" s="234">
        <f t="array" ref="G68">_xlfn.IFS(F68="x", "x", F68&lt;=2, 1, F68&lt;=4, 2, F68&lt;=6, 3, F68&lt;=8, 4, F68&lt;=10, 5)</f>
        <v>4</v>
      </c>
      <c r="H68" s="226" t="str">
        <f t="shared" si="5"/>
        <v>High</v>
      </c>
      <c r="I68" s="227" t="str">
        <f>INDEX(Trends!$D$3:$D$404,MATCH(B68,Trends!$C$3:$C$404,0))</f>
        <v>Stable</v>
      </c>
      <c r="J68" s="226" t="str">
        <f>VLOOKUP($B68,Reliability!$A$3:$I$300,9,FALSE)</f>
        <v>Very High</v>
      </c>
      <c r="K68" s="226">
        <f t="shared" si="6"/>
        <v>6.7783893596786671</v>
      </c>
      <c r="L68" s="226">
        <f>VLOOKUP($B68,'Impact of the crisis'!$C$6:$N$300,12,FALSE)</f>
        <v>7.0395669455044763</v>
      </c>
      <c r="M68" s="226">
        <f>VLOOKUP($B68,'Impact of the crisis'!$C$6:$AB$300,26,FALSE)</f>
        <v>6.6415835047470786</v>
      </c>
      <c r="N68" s="226">
        <f>VLOOKUP($B68,'Conditions of people affected'!$C$6:$R$300,16,FALSE)</f>
        <v>7.7575815596882514</v>
      </c>
      <c r="O68" s="226">
        <f>VLOOKUP($B68,'Conditions of people affected'!$C$6:$R$300,9,FALSE)</f>
        <v>9.5151631193765027</v>
      </c>
      <c r="P68" s="226">
        <f>VLOOKUP($B68,'Conditions of people affected'!$C$6:$R$300,15,FALSE)</f>
        <v>6.0000000000000009</v>
      </c>
      <c r="Q68" s="226">
        <f t="shared" si="7"/>
        <v>6.06592364251037</v>
      </c>
      <c r="R68" s="226">
        <f>VLOOKUP($B68,'Complexity of the crisis'!$C$6:$AN$300,22,FALSE)</f>
        <v>5.5909846209922307</v>
      </c>
      <c r="S68" s="228">
        <f>VLOOKUP($B68,'Complexity of the crisis'!$C$6:$AN$300,38,FALSE)</f>
        <v>6.5</v>
      </c>
      <c r="T68" s="136" t="str">
        <f>VLOOKUP(B68,Lists!$C$3:$E$300,3,FALSE)</f>
        <v>Middle east</v>
      </c>
      <c r="U68" s="144">
        <f>VLOOKUP(B68,'INFORM Severity - hidden'!$C$5:$V$300,20,FALSE)</f>
        <v>46265</v>
      </c>
    </row>
    <row r="69" spans="1:21" x14ac:dyDescent="0.35">
      <c r="A69" s="134" t="str">
        <f t="array" ref="A69">IFERROR(INDEX(Lists!$B$2:$B$200,SMALL(IF(Lists!$H$2:$H$200="Yes",ROW(Lists!$B$2:$B$200)),ROW(65:65))-1,1),"")</f>
        <v>Multiple Crises in Tanzania</v>
      </c>
      <c r="B69" s="135" t="str">
        <f>VLOOKUP(A69,Lists!$B$2:$G$200,2,FALSE)</f>
        <v>TZA001</v>
      </c>
      <c r="C69" s="135" t="str">
        <f>VLOOKUP(B69,'INFORM Severity - hidden'!$C$5:$D$200,2,FALSE)</f>
        <v>Tanzania</v>
      </c>
      <c r="D69" s="135" t="str">
        <f>VLOOKUP(A69,Lists!$B$2:$G$200,3,FALSE)</f>
        <v>TZA</v>
      </c>
      <c r="E69" s="135" t="str">
        <f>VLOOKUP(A69,Lists!$B$2:$G$200,5,FALSE)</f>
        <v>International Displacement,Drought/drier conditions,Floods</v>
      </c>
      <c r="F69" s="225">
        <f t="shared" si="4"/>
        <v>5.5</v>
      </c>
      <c r="G69" s="234">
        <f t="array" ref="G69">_xlfn.IFS(F69="x", "x", F69&lt;=2, 1, F69&lt;=4, 2, F69&lt;=6, 3, F69&lt;=8, 4, F69&lt;=10, 5)</f>
        <v>3</v>
      </c>
      <c r="H69" s="226" t="str">
        <f t="shared" ref="H69:H73" si="8">IF(N69="x","x",IF(K69="x","x",(IF(G69=5,"Very High",IF(G69=4,"High",IF(G69=3,"Medium",IF(G69=2,"Low","Very Low")))))))</f>
        <v>Medium</v>
      </c>
      <c r="I69" s="227" t="str">
        <f>INDEX(Trends!$D$3:$D$404,MATCH(B69,Trends!$C$3:$C$404,0))</f>
        <v>Decreasing</v>
      </c>
      <c r="J69" s="226" t="str">
        <f>VLOOKUP($B69,Reliability!$A$3:$I$300,9,FALSE)</f>
        <v>High</v>
      </c>
      <c r="K69" s="226">
        <f t="shared" ref="K69:K73" si="9">IF(OR(M69="x",L69="x"),"x",(10-GEOMEAN(((10-L69)/10*9+1),((10-M69)/10*9+1),((10-M69)/10*9+1)))/9*10)</f>
        <v>4.79005175997509</v>
      </c>
      <c r="L69" s="226">
        <f>VLOOKUP($B69,'Impact of the crisis'!$C$6:$N$300,12,FALSE)</f>
        <v>5.3471306811129242</v>
      </c>
      <c r="M69" s="226">
        <f>VLOOKUP($B69,'Impact of the crisis'!$C$6:$AB$300,26,FALSE)</f>
        <v>4.4916360031045626</v>
      </c>
      <c r="N69" s="226">
        <f>VLOOKUP($B69,'Conditions of people affected'!$C$6:$R$300,16,FALSE)</f>
        <v>5.9495234337671743</v>
      </c>
      <c r="O69" s="226">
        <f>VLOOKUP($B69,'Conditions of people affected'!$C$6:$R$300,9,FALSE)</f>
        <v>6.0160689290705411</v>
      </c>
      <c r="P69" s="226">
        <f>VLOOKUP($B69,'Conditions of people affected'!$C$6:$R$300,15,FALSE)</f>
        <v>5.8829779384638075</v>
      </c>
      <c r="Q69" s="226">
        <f t="shared" ref="Q69:Q73" si="10">IF(OR(S69="x",R69="x"),R69,(10-GEOMEAN(((10-R69)/10*9+1),((10-S69)/10*9+1)))/9*10)</f>
        <v>5.3524992778433305</v>
      </c>
      <c r="R69" s="226">
        <f>VLOOKUP($B69,'Complexity of the crisis'!$C$6:$AN$300,22,FALSE)</f>
        <v>5.201121166234568</v>
      </c>
      <c r="S69" s="228">
        <f>VLOOKUP($B69,'Complexity of the crisis'!$C$6:$AN$300,38,FALSE)</f>
        <v>5.5</v>
      </c>
      <c r="T69" s="136" t="str">
        <f>VLOOKUP(B69,Lists!$C$3:$E$300,3,FALSE)</f>
        <v>Africa</v>
      </c>
      <c r="U69" s="144">
        <f>VLOOKUP(B69,'INFORM Severity - hidden'!$C$5:$V$300,20,FALSE)</f>
        <v>46261</v>
      </c>
    </row>
    <row r="70" spans="1:21" x14ac:dyDescent="0.35">
      <c r="A70" s="134" t="str">
        <f t="array" ref="A70">IFERROR(INDEX(Lists!$B$2:$B$200,SMALL(IF(Lists!$H$2:$H$200="Yes",ROW(Lists!$B$2:$B$200)),ROW(66:66))-1,1),"")</f>
        <v>Conflict in Ukraine</v>
      </c>
      <c r="B70" s="135" t="str">
        <f>VLOOKUP(A70,Lists!$B$2:$G$200,2,FALSE)</f>
        <v>UKR002</v>
      </c>
      <c r="C70" s="135" t="str">
        <f>VLOOKUP(B70,'INFORM Severity - hidden'!$C$5:$D$200,2,FALSE)</f>
        <v>Ukraine</v>
      </c>
      <c r="D70" s="135" t="str">
        <f>VLOOKUP(A70,Lists!$B$2:$G$200,3,FALSE)</f>
        <v>UKR</v>
      </c>
      <c r="E70" s="135" t="str">
        <f>VLOOKUP(A70,Lists!$B$2:$G$200,5,FALSE)</f>
        <v>Conflict/ Violence</v>
      </c>
      <c r="F70" s="225">
        <f t="shared" si="4"/>
        <v>9.1</v>
      </c>
      <c r="G70" s="234">
        <f t="array" ref="G70">_xlfn.IFS(F70="x", "x", F70&lt;=2, 1, F70&lt;=4, 2, F70&lt;=6, 3, F70&lt;=8, 4, F70&lt;=10, 5)</f>
        <v>5</v>
      </c>
      <c r="H70" s="226" t="str">
        <f t="shared" si="8"/>
        <v>Very High</v>
      </c>
      <c r="I70" s="227" t="str">
        <f>INDEX(Trends!$D$3:$D$404,MATCH(B70,Trends!$C$3:$C$404,0))</f>
        <v>Decreasing</v>
      </c>
      <c r="J70" s="226" t="str">
        <f>VLOOKUP($B70,Reliability!$A$3:$I$300,9,FALSE)</f>
        <v>Very High</v>
      </c>
      <c r="K70" s="226">
        <f t="shared" si="9"/>
        <v>9.0637278682564677</v>
      </c>
      <c r="L70" s="226">
        <f>VLOOKUP($B70,'Impact of the crisis'!$C$6:$N$300,12,FALSE)</f>
        <v>9.8302713331820186</v>
      </c>
      <c r="M70" s="226">
        <f>VLOOKUP($B70,'Impact of the crisis'!$C$6:$AB$300,26,FALSE)</f>
        <v>8.5225923721374706</v>
      </c>
      <c r="N70" s="226">
        <f>VLOOKUP($B70,'Conditions of people affected'!$C$6:$R$300,16,FALSE)</f>
        <v>9.7091659701643742</v>
      </c>
      <c r="O70" s="226">
        <f>VLOOKUP($B70,'Conditions of people affected'!$C$6:$R$300,9,FALSE)</f>
        <v>10</v>
      </c>
      <c r="P70" s="226">
        <f>VLOOKUP($B70,'Conditions of people affected'!$C$6:$R$300,15,FALSE)</f>
        <v>9.4183319403287467</v>
      </c>
      <c r="Q70" s="226">
        <f t="shared" si="10"/>
        <v>8.0979038916670216</v>
      </c>
      <c r="R70" s="226">
        <f>VLOOKUP($B70,'Complexity of the crisis'!$C$6:$AN$300,22,FALSE)</f>
        <v>5.4756104403669807</v>
      </c>
      <c r="S70" s="228">
        <f>VLOOKUP($B70,'Complexity of the crisis'!$C$6:$AN$300,38,FALSE)</f>
        <v>9.5</v>
      </c>
      <c r="T70" s="136" t="str">
        <f>VLOOKUP(B70,Lists!$C$3:$E$300,3,FALSE)</f>
        <v>Europe</v>
      </c>
      <c r="U70" s="144">
        <f>VLOOKUP(B70,'INFORM Severity - hidden'!$C$5:$V$300,20,FALSE)</f>
        <v>46265</v>
      </c>
    </row>
    <row r="71" spans="1:21" x14ac:dyDescent="0.35">
      <c r="A71" s="134" t="str">
        <f t="array" ref="A71">IFERROR(INDEX(Lists!$B$2:$B$200,SMALL(IF(Lists!$H$2:$H$200="Yes",ROW(Lists!$B$2:$B$200)),ROW(67:67))-1,1),"")</f>
        <v>Multiple Crises in Venezuela</v>
      </c>
      <c r="B71" s="135" t="str">
        <f>VLOOKUP(A71,Lists!$B$2:$G$200,2,FALSE)</f>
        <v>VEN003</v>
      </c>
      <c r="C71" s="135" t="str">
        <f>VLOOKUP(B71,'INFORM Severity - hidden'!$C$5:$D$200,2,FALSE)</f>
        <v>Venezuela</v>
      </c>
      <c r="D71" s="135" t="str">
        <f>VLOOKUP(A71,Lists!$B$2:$G$200,3,FALSE)</f>
        <v>VEN</v>
      </c>
      <c r="E71" s="135" t="str">
        <f>VLOOKUP(A71,Lists!$B$2:$G$200,5,FALSE)</f>
        <v>Earthquake,Political/economic crisis,Conflict/ Violence</v>
      </c>
      <c r="F71" s="225">
        <f t="shared" si="4"/>
        <v>8.5</v>
      </c>
      <c r="G71" s="234">
        <f t="array" ref="G71">_xlfn.IFS(F71="x", "x", F71&lt;=2, 1, F71&lt;=4, 2, F71&lt;=6, 3, F71&lt;=8, 4, F71&lt;=10, 5)</f>
        <v>5</v>
      </c>
      <c r="H71" s="226" t="str">
        <f t="shared" si="8"/>
        <v>Very High</v>
      </c>
      <c r="I71" s="227" t="str">
        <f>INDEX(Trends!$D$3:$D$404,MATCH(B71,Trends!$C$3:$C$404,0))</f>
        <v>-</v>
      </c>
      <c r="J71" s="226" t="str">
        <f>VLOOKUP($B71,Reliability!$A$3:$I$300,9,FALSE)</f>
        <v>High</v>
      </c>
      <c r="K71" s="226">
        <f t="shared" si="9"/>
        <v>9.8012338388047997</v>
      </c>
      <c r="L71" s="226">
        <f>VLOOKUP($B71,'Impact of the crisis'!$C$6:$N$300,12,FALSE)</f>
        <v>9.8796805005055361</v>
      </c>
      <c r="M71" s="226">
        <f>VLOOKUP($B71,'Impact of the crisis'!$C$6:$AB$300,26,FALSE)</f>
        <v>9.7601559411632284</v>
      </c>
      <c r="N71" s="226">
        <f>VLOOKUP($B71,'Conditions of people affected'!$C$6:$R$300,16,FALSE)</f>
        <v>8.5227462835607959</v>
      </c>
      <c r="O71" s="226">
        <f>VLOOKUP($B71,'Conditions of people affected'!$C$6:$R$300,9,FALSE)</f>
        <v>9.7823346723847493</v>
      </c>
      <c r="P71" s="226">
        <f>VLOOKUP($B71,'Conditions of people affected'!$C$6:$R$300,15,FALSE)</f>
        <v>7.2631578947368443</v>
      </c>
      <c r="Q71" s="226">
        <f t="shared" si="10"/>
        <v>7.3837038668010884</v>
      </c>
      <c r="R71" s="226">
        <f>VLOOKUP($B71,'Complexity of the crisis'!$C$6:$AN$300,22,FALSE)</f>
        <v>7.2636624069753095</v>
      </c>
      <c r="S71" s="228">
        <f>VLOOKUP($B71,'Complexity of the crisis'!$C$6:$AN$300,38,FALSE)</f>
        <v>7.5</v>
      </c>
      <c r="T71" s="136" t="str">
        <f>VLOOKUP(B71,Lists!$C$3:$E$300,3,FALSE)</f>
        <v>Americas</v>
      </c>
      <c r="U71" s="144">
        <f>VLOOKUP(B71,'INFORM Severity - hidden'!$C$5:$V$300,20,FALSE)</f>
        <v>46265</v>
      </c>
    </row>
    <row r="72" spans="1:21" x14ac:dyDescent="0.35">
      <c r="A72" s="134" t="str">
        <f t="array" ref="A72">IFERROR(INDEX(Lists!$B$2:$B$200,SMALL(IF(Lists!$H$2:$H$200="Yes",ROW(Lists!$B$2:$B$200)),ROW(68:68))-1,1),"")</f>
        <v>Complex crisis in Yemen</v>
      </c>
      <c r="B72" s="135" t="str">
        <f>VLOOKUP(A72,Lists!$B$2:$G$200,2,FALSE)</f>
        <v>YEM001</v>
      </c>
      <c r="C72" s="135" t="str">
        <f>VLOOKUP(B72,'INFORM Severity - hidden'!$C$5:$D$200,2,FALSE)</f>
        <v>Yemen</v>
      </c>
      <c r="D72" s="135" t="str">
        <f>VLOOKUP(A72,Lists!$B$2:$G$200,3,FALSE)</f>
        <v>YEM</v>
      </c>
      <c r="E72" s="135" t="str">
        <f>VLOOKUP(A72,Lists!$B$2:$G$200,5,FALSE)</f>
        <v>Conflict/ Violence,Drought/drier conditions,Political/economic crisis,Floods</v>
      </c>
      <c r="F72" s="225">
        <f t="shared" si="4"/>
        <v>9.1999999999999993</v>
      </c>
      <c r="G72" s="234">
        <f t="array" ref="G72">_xlfn.IFS(F72="x", "x", F72&lt;=2, 1, F72&lt;=4, 2, F72&lt;=6, 3, F72&lt;=8, 4, F72&lt;=10, 5)</f>
        <v>5</v>
      </c>
      <c r="H72" s="226" t="str">
        <f t="shared" si="8"/>
        <v>Very High</v>
      </c>
      <c r="I72" s="227" t="str">
        <f>INDEX(Trends!$D$3:$D$404,MATCH(B72,Trends!$C$3:$C$404,0))</f>
        <v>Stable</v>
      </c>
      <c r="J72" s="226" t="str">
        <f>VLOOKUP($B72,Reliability!$A$3:$I$300,9,FALSE)</f>
        <v>High</v>
      </c>
      <c r="K72" s="226">
        <f t="shared" si="9"/>
        <v>9.587704934813603</v>
      </c>
      <c r="L72" s="226">
        <f>VLOOKUP($B72,'Impact of the crisis'!$C$6:$N$300,12,FALSE)</f>
        <v>9.788895363701613</v>
      </c>
      <c r="M72" s="226">
        <f>VLOOKUP($B72,'Impact of the crisis'!$C$6:$AB$300,26,FALSE)</f>
        <v>9.475905361907131</v>
      </c>
      <c r="N72" s="226">
        <f>VLOOKUP($B72,'Conditions of people affected'!$C$6:$R$300,16,FALSE)</f>
        <v>9</v>
      </c>
      <c r="O72" s="226">
        <f>VLOOKUP($B72,'Conditions of people affected'!$C$6:$R$300,9,FALSE)</f>
        <v>10</v>
      </c>
      <c r="P72" s="226">
        <f>VLOOKUP($B72,'Conditions of people affected'!$C$6:$R$300,15,FALSE)</f>
        <v>8</v>
      </c>
      <c r="Q72" s="226">
        <f t="shared" si="10"/>
        <v>9.2827432024695469</v>
      </c>
      <c r="R72" s="226">
        <f>VLOOKUP($B72,'Complexity of the crisis'!$C$6:$AN$300,22,FALSE)</f>
        <v>8.1024748226958181</v>
      </c>
      <c r="S72" s="228">
        <f>VLOOKUP($B72,'Complexity of the crisis'!$C$6:$AN$300,38,FALSE)</f>
        <v>10</v>
      </c>
      <c r="T72" s="136" t="str">
        <f>VLOOKUP(B72,Lists!$C$3:$E$300,3,FALSE)</f>
        <v>Middle east</v>
      </c>
      <c r="U72" s="144">
        <f>VLOOKUP(B72,'INFORM Severity - hidden'!$C$5:$V$300,20,FALSE)</f>
        <v>46265</v>
      </c>
    </row>
    <row r="73" spans="1:21" x14ac:dyDescent="0.35">
      <c r="A73" s="134" t="str">
        <f t="array" ref="A73">IFERROR(INDEX(Lists!$B$2:$B$200,SMALL(IF(Lists!$H$2:$H$200="Yes",ROW(Lists!$B$2:$B$200)),ROW(69:69))-1,1),"")</f>
        <v>Drought in Zambia</v>
      </c>
      <c r="B73" s="135" t="str">
        <f>VLOOKUP(A73,Lists!$B$2:$G$200,2,FALSE)</f>
        <v>ZMB002</v>
      </c>
      <c r="C73" s="135" t="str">
        <f>VLOOKUP(B73,'INFORM Severity - hidden'!$C$5:$D$200,2,FALSE)</f>
        <v>Zambia</v>
      </c>
      <c r="D73" s="135" t="str">
        <f>VLOOKUP(A73,Lists!$B$2:$G$200,3,FALSE)</f>
        <v>ZMB</v>
      </c>
      <c r="E73" s="135" t="str">
        <f>VLOOKUP(A73,Lists!$B$2:$G$200,5,FALSE)</f>
        <v>Drought/drier conditions</v>
      </c>
      <c r="F73" s="225">
        <f t="shared" si="4"/>
        <v>6.2</v>
      </c>
      <c r="G73" s="234">
        <f t="array" ref="G73">_xlfn.IFS(F73="x", "x", F73&lt;=2, 1, F73&lt;=4, 2, F73&lt;=6, 3, F73&lt;=8, 4, F73&lt;=10, 5)</f>
        <v>4</v>
      </c>
      <c r="H73" s="226" t="str">
        <f t="shared" si="8"/>
        <v>High</v>
      </c>
      <c r="I73" s="227" t="str">
        <f>INDEX(Trends!$D$3:$D$404,MATCH(B73,Trends!$C$3:$C$404,0))</f>
        <v>Decreasing</v>
      </c>
      <c r="J73" s="226" t="str">
        <f>VLOOKUP($B73,Reliability!$A$3:$I$300,9,FALSE)</f>
        <v>High</v>
      </c>
      <c r="K73" s="226">
        <f t="shared" si="9"/>
        <v>7.4810668871895514</v>
      </c>
      <c r="L73" s="226">
        <f>VLOOKUP($B73,'Impact of the crisis'!$C$6:$N$300,12,FALSE)</f>
        <v>9.2541747830767527</v>
      </c>
      <c r="M73" s="226">
        <f>VLOOKUP($B73,'Impact of the crisis'!$C$6:$AB$300,26,FALSE)</f>
        <v>6.0357217188110894</v>
      </c>
      <c r="N73" s="226">
        <f>VLOOKUP($B73,'Conditions of people affected'!$C$6:$R$300,16,FALSE)</f>
        <v>5.8052858043754316</v>
      </c>
      <c r="O73" s="226">
        <f>VLOOKUP($B73,'Conditions of people affected'!$C$6:$R$300,9,FALSE)</f>
        <v>6.1461847420772031</v>
      </c>
      <c r="P73" s="226">
        <f>VLOOKUP($B73,'Conditions of people affected'!$C$6:$R$300,15,FALSE)</f>
        <v>5.4643868666736601</v>
      </c>
      <c r="Q73" s="226">
        <f t="shared" si="10"/>
        <v>5.583790993380612</v>
      </c>
      <c r="R73" s="226">
        <f>VLOOKUP($B73,'Complexity of the crisis'!$C$6:$AN$300,22,FALSE)</f>
        <v>5.1336891729629635</v>
      </c>
      <c r="S73" s="228">
        <f>VLOOKUP($B73,'Complexity of the crisis'!$C$6:$AN$300,38,FALSE)</f>
        <v>6</v>
      </c>
      <c r="T73" s="136" t="str">
        <f>VLOOKUP(B73,Lists!$C$3:$E$300,3,FALSE)</f>
        <v>Africa</v>
      </c>
      <c r="U73" s="144">
        <f>VLOOKUP(B73,'INFORM Severity - hidden'!$C$5:$V$300,20,FALSE)</f>
        <v>46265</v>
      </c>
    </row>
  </sheetData>
  <autoFilter ref="A4:T143" xr:uid="{00000000-0009-0000-0000-000004000000}"/>
  <conditionalFormatting sqref="A1:XFD1048576">
    <cfRule type="containsBlanks" priority="1" stopIfTrue="1">
      <formula>LEN(TRIM(A1))=0</formula>
    </cfRule>
  </conditionalFormatting>
  <conditionalFormatting sqref="G5:G300">
    <cfRule type="cellIs" dxfId="122" priority="17" stopIfTrue="1" operator="equal">
      <formula>5</formula>
    </cfRule>
    <cfRule type="cellIs" dxfId="121" priority="18" stopIfTrue="1" operator="equal">
      <formula>4</formula>
    </cfRule>
    <cfRule type="cellIs" dxfId="120" priority="19" stopIfTrue="1" operator="equal">
      <formula>3</formula>
    </cfRule>
    <cfRule type="cellIs" dxfId="119" priority="20" stopIfTrue="1" operator="equal">
      <formula>2</formula>
    </cfRule>
    <cfRule type="cellIs" dxfId="118" priority="21" stopIfTrue="1" operator="equal">
      <formula>1</formula>
    </cfRule>
  </conditionalFormatting>
  <conditionalFormatting sqref="H5:H300">
    <cfRule type="cellIs" dxfId="117" priority="13" stopIfTrue="1" operator="equal">
      <formula>"High"</formula>
    </cfRule>
    <cfRule type="cellIs" dxfId="116" priority="12" stopIfTrue="1" operator="equal">
      <formula>"Very High"</formula>
    </cfRule>
    <cfRule type="cellIs" dxfId="115" priority="14" stopIfTrue="1" operator="equal">
      <formula>"Medium"</formula>
    </cfRule>
    <cfRule type="cellIs" dxfId="114" priority="15" stopIfTrue="1" operator="equal">
      <formula>"Low"</formula>
    </cfRule>
    <cfRule type="cellIs" dxfId="113" priority="16" stopIfTrue="1" operator="equal">
      <formula>"Very Low"</formula>
    </cfRule>
  </conditionalFormatting>
  <conditionalFormatting sqref="I5:I300">
    <cfRule type="cellIs" dxfId="112" priority="27" operator="equal">
      <formula>"Increasing"</formula>
    </cfRule>
    <cfRule type="cellIs" dxfId="111" priority="28" operator="equal">
      <formula>"Stable"</formula>
    </cfRule>
    <cfRule type="cellIs" dxfId="110" priority="29" operator="equal">
      <formula>"Decreasing"</formula>
    </cfRule>
  </conditionalFormatting>
  <conditionalFormatting sqref="J5:J300">
    <cfRule type="cellIs" dxfId="109" priority="2" stopIfTrue="1" operator="equal">
      <formula>"Very Low"</formula>
    </cfRule>
    <cfRule type="cellIs" dxfId="108" priority="3" stopIfTrue="1" operator="equal">
      <formula>"Low"</formula>
    </cfRule>
    <cfRule type="cellIs" dxfId="107" priority="4" stopIfTrue="1" operator="equal">
      <formula>"Medium"</formula>
    </cfRule>
    <cfRule type="cellIs" dxfId="106" priority="5" stopIfTrue="1" operator="equal">
      <formula>"High"</formula>
    </cfRule>
    <cfRule type="cellIs" dxfId="105" priority="6" stopIfTrue="1" operator="equal">
      <formula>"Very High"</formula>
    </cfRule>
  </conditionalFormatting>
  <conditionalFormatting sqref="K5:K300">
    <cfRule type="cellIs" dxfId="104" priority="71" stopIfTrue="1" operator="between">
      <formula>6</formula>
      <formula>8</formula>
    </cfRule>
    <cfRule type="cellIs" dxfId="103" priority="65" stopIfTrue="1" operator="between">
      <formula>8</formula>
      <formula>10</formula>
    </cfRule>
    <cfRule type="cellIs" dxfId="102" priority="74" stopIfTrue="1" operator="between">
      <formula>0</formula>
      <formula>2</formula>
    </cfRule>
    <cfRule type="cellIs" dxfId="101" priority="73" stopIfTrue="1" operator="between">
      <formula>2</formula>
      <formula>4</formula>
    </cfRule>
    <cfRule type="cellIs" dxfId="100" priority="72" stopIfTrue="1" operator="between">
      <formula>4</formula>
      <formula>6</formula>
    </cfRule>
  </conditionalFormatting>
  <conditionalFormatting sqref="L5:M300">
    <cfRule type="cellIs" dxfId="99" priority="67" stopIfTrue="1" operator="between">
      <formula>6</formula>
      <formula>8</formula>
    </cfRule>
    <cfRule type="cellIs" dxfId="98" priority="69" stopIfTrue="1" operator="between">
      <formula>2</formula>
      <formula>4</formula>
    </cfRule>
    <cfRule type="cellIs" dxfId="97" priority="70" stopIfTrue="1" operator="between">
      <formula>0</formula>
      <formula>2</formula>
    </cfRule>
    <cfRule type="cellIs" dxfId="96" priority="68" stopIfTrue="1" operator="between">
      <formula>4</formula>
      <formula>6</formula>
    </cfRule>
    <cfRule type="cellIs" dxfId="95" priority="66" stopIfTrue="1" operator="between">
      <formula>8</formula>
      <formula>10</formula>
    </cfRule>
  </conditionalFormatting>
  <conditionalFormatting sqref="N5:N300">
    <cfRule type="cellIs" dxfId="94" priority="8" stopIfTrue="1" operator="between">
      <formula>8</formula>
      <formula>8.99</formula>
    </cfRule>
    <cfRule type="cellIs" dxfId="93" priority="9" stopIfTrue="1" operator="between">
      <formula>6</formula>
      <formula>7.99</formula>
    </cfRule>
    <cfRule type="cellIs" dxfId="92" priority="10" stopIfTrue="1" operator="between">
      <formula>4</formula>
      <formula>5.99</formula>
    </cfRule>
    <cfRule type="cellIs" dxfId="91" priority="7" stopIfTrue="1" operator="between">
      <formula>10</formula>
      <formula>11.99</formula>
    </cfRule>
    <cfRule type="cellIs" dxfId="90" priority="11" stopIfTrue="1" operator="between">
      <formula>0</formula>
      <formula>3.99</formula>
    </cfRule>
  </conditionalFormatting>
  <conditionalFormatting sqref="O5:P300">
    <cfRule type="cellIs" dxfId="89" priority="55" stopIfTrue="1" operator="between">
      <formula>14.1</formula>
      <formula>20</formula>
    </cfRule>
    <cfRule type="cellIs" dxfId="88" priority="56" stopIfTrue="1" operator="between">
      <formula>10.7</formula>
      <formula>14</formula>
    </cfRule>
    <cfRule type="cellIs" dxfId="87" priority="58" stopIfTrue="1" operator="between">
      <formula>3.5</formula>
      <formula>6.99</formula>
    </cfRule>
    <cfRule type="cellIs" dxfId="86" priority="59" stopIfTrue="1" operator="between">
      <formula>0</formula>
      <formula>3.49</formula>
    </cfRule>
    <cfRule type="cellIs" dxfId="85" priority="57" stopIfTrue="1" operator="between">
      <formula>7</formula>
      <formula>10.69</formula>
    </cfRule>
  </conditionalFormatting>
  <conditionalFormatting sqref="Q5:Q300">
    <cfRule type="cellIs" dxfId="84" priority="37" stopIfTrue="1" operator="between">
      <formula>4</formula>
      <formula>6</formula>
    </cfRule>
    <cfRule type="cellIs" dxfId="83" priority="36" stopIfTrue="1" operator="between">
      <formula>6</formula>
      <formula>8</formula>
    </cfRule>
    <cfRule type="cellIs" dxfId="82" priority="39" stopIfTrue="1" operator="between">
      <formula>0</formula>
      <formula>2</formula>
    </cfRule>
    <cfRule type="cellIs" dxfId="81" priority="38" stopIfTrue="1" operator="between">
      <formula>2</formula>
      <formula>4</formula>
    </cfRule>
    <cfRule type="cellIs" dxfId="80" priority="35" stopIfTrue="1" operator="between">
      <formula>8</formula>
      <formula>10</formula>
    </cfRule>
  </conditionalFormatting>
  <conditionalFormatting sqref="R5:S300">
    <cfRule type="cellIs" dxfId="79" priority="48" stopIfTrue="1" operator="between">
      <formula>2</formula>
      <formula>4</formula>
    </cfRule>
    <cfRule type="cellIs" dxfId="78" priority="49" stopIfTrue="1" operator="between">
      <formula>0</formula>
      <formula>2</formula>
    </cfRule>
    <cfRule type="cellIs" dxfId="77" priority="45" stopIfTrue="1" operator="between">
      <formula>8</formula>
      <formula>10</formula>
    </cfRule>
    <cfRule type="cellIs" dxfId="76" priority="46" stopIfTrue="1" operator="between">
      <formula>6</formula>
      <formula>8</formula>
    </cfRule>
    <cfRule type="cellIs" dxfId="75" priority="47" stopIfTrue="1" operator="between">
      <formula>4</formula>
      <formula>6</formula>
    </cfRule>
  </conditionalFormatting>
  <conditionalFormatting sqref="S5:S300">
    <cfRule type="cellIs" dxfId="74" priority="50" stopIfTrue="1" operator="between">
      <formula>8</formula>
      <formula>10</formula>
    </cfRule>
    <cfRule type="cellIs" dxfId="73" priority="51" stopIfTrue="1" operator="between">
      <formula>6</formula>
      <formula>8</formula>
    </cfRule>
    <cfRule type="cellIs" dxfId="72" priority="52" stopIfTrue="1" operator="between">
      <formula>4</formula>
      <formula>6</formula>
    </cfRule>
    <cfRule type="cellIs" dxfId="71" priority="53" stopIfTrue="1" operator="between">
      <formula>2</formula>
      <formula>4</formula>
    </cfRule>
    <cfRule type="cellIs" dxfId="70" priority="54" stopIfTrue="1" operator="between">
      <formula>0</formula>
      <formula>2</formula>
    </cfRule>
  </conditionalFormatting>
  <pageMargins left="0.7" right="0.7" top="0.75" bottom="0.75" header="0.3" footer="0.3"/>
  <pageSetup paperSize="8" orientation="landscape"/>
  <drawing r:id="rId1"/>
  <picture r:id="rId2"/>
</worksheet>
</file>